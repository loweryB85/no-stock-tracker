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gan\Documents\VBA Code\Flags\"/>
    </mc:Choice>
  </mc:AlternateContent>
  <xr:revisionPtr revIDLastSave="0" documentId="13_ncr:1_{D15DC496-425D-4EE8-9569-F140E5D6DB9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1st Shift" sheetId="1" r:id="rId1"/>
    <sheet name="2nd Shift" sheetId="2" r:id="rId2"/>
    <sheet name="3rd Shift" sheetId="3" r:id="rId3"/>
    <sheet name="LAST DAY" sheetId="4" r:id="rId4"/>
  </sheets>
  <functionGroups builtInGroupCount="19"/>
  <definedNames>
    <definedName name="_xlnm._FilterDatabase" localSheetId="0" hidden="1">'1st Shift'!$A$4:$G$4</definedName>
    <definedName name="_xlnm._FilterDatabase" localSheetId="1" hidden="1">'2nd Shift'!$A$4:$G$4</definedName>
    <definedName name="_xlnm._FilterDatabase" localSheetId="2" hidden="1">'3rd Shift'!$A$4:$G$4</definedName>
    <definedName name="_xlnm._FilterDatabase" localSheetId="3" hidden="1">'LAST DAY'!$A$4:$G$4</definedName>
    <definedName name="Z_65261948_82E8_49A2_BAB3_E584B03EBF7A_.wvu.FilterData" localSheetId="0" hidden="1">'1st Shift'!$A$4:$G$4</definedName>
    <definedName name="Z_65261948_82E8_49A2_BAB3_E584B03EBF7A_.wvu.FilterData" localSheetId="1" hidden="1">'2nd Shift'!$A$4:$G$4</definedName>
    <definedName name="Z_65261948_82E8_49A2_BAB3_E584B03EBF7A_.wvu.FilterData" localSheetId="2" hidden="1">'3rd Shift'!$A$4:$G$4</definedName>
    <definedName name="Z_65261948_82E8_49A2_BAB3_E584B03EBF7A_.wvu.FilterData" localSheetId="3" hidden="1">'LAST DAY'!$A$4:$G$4</definedName>
    <definedName name="Z_65261948_82E8_49A2_BAB3_E584B03EBF7A_.wvu.Rows" localSheetId="0" hidden="1">'1st Shift'!$59:$60</definedName>
    <definedName name="Z_65261948_82E8_49A2_BAB3_E584B03EBF7A_.wvu.Rows" localSheetId="1" hidden="1">'2nd Shift'!$62:$63</definedName>
    <definedName name="Z_65261948_82E8_49A2_BAB3_E584B03EBF7A_.wvu.Rows" localSheetId="2" hidden="1">'3rd Shift'!$62:$63</definedName>
    <definedName name="Z_65261948_82E8_49A2_BAB3_E584B03EBF7A_.wvu.Rows" localSheetId="3" hidden="1">'LAST DAY'!$62:$63</definedName>
    <definedName name="Z_8FC35363_868F_4EDE_AB9E_1079786AF750_.wvu.FilterData" localSheetId="0" hidden="1">'1st Shift'!$A$4:$G$4</definedName>
    <definedName name="Z_8FC35363_868F_4EDE_AB9E_1079786AF750_.wvu.FilterData" localSheetId="1" hidden="1">'2nd Shift'!$A$4:$G$4</definedName>
    <definedName name="Z_8FC35363_868F_4EDE_AB9E_1079786AF750_.wvu.FilterData" localSheetId="2" hidden="1">'3rd Shift'!$A$4:$G$4</definedName>
    <definedName name="Z_8FC35363_868F_4EDE_AB9E_1079786AF750_.wvu.FilterData" localSheetId="3" hidden="1">'LAST DAY'!$A$4:$G$4</definedName>
    <definedName name="Z_8FC35363_868F_4EDE_AB9E_1079786AF750_.wvu.Rows" localSheetId="1" hidden="1">'2nd Shift'!$62:$63</definedName>
    <definedName name="Z_8FC35363_868F_4EDE_AB9E_1079786AF750_.wvu.Rows" localSheetId="2" hidden="1">'3rd Shift'!$62:$63</definedName>
    <definedName name="Z_8FC35363_868F_4EDE_AB9E_1079786AF750_.wvu.Rows" localSheetId="3" hidden="1">'LAST DAY'!$62:$63</definedName>
    <definedName name="Z_9E995672_D6BA_4875_AFBE_C9975152FF6D_.wvu.FilterData" localSheetId="0" hidden="1">'1st Shift'!$A$4:$G$4</definedName>
    <definedName name="Z_9E995672_D6BA_4875_AFBE_C9975152FF6D_.wvu.FilterData" localSheetId="1" hidden="1">'2nd Shift'!$A$4:$G$4</definedName>
    <definedName name="Z_9E995672_D6BA_4875_AFBE_C9975152FF6D_.wvu.FilterData" localSheetId="2" hidden="1">'3rd Shift'!$A$4:$G$4</definedName>
    <definedName name="Z_9E995672_D6BA_4875_AFBE_C9975152FF6D_.wvu.FilterData" localSheetId="3" hidden="1">'LAST DAY'!$A$4:$G$4</definedName>
    <definedName name="Z_9E995672_D6BA_4875_AFBE_C9975152FF6D_.wvu.Rows" localSheetId="0" hidden="1">'1st Shift'!$59:$60</definedName>
    <definedName name="Z_9E995672_D6BA_4875_AFBE_C9975152FF6D_.wvu.Rows" localSheetId="1" hidden="1">'2nd Shift'!$62:$63</definedName>
    <definedName name="Z_9E995672_D6BA_4875_AFBE_C9975152FF6D_.wvu.Rows" localSheetId="2" hidden="1">'3rd Shift'!$62:$63</definedName>
    <definedName name="Z_9E995672_D6BA_4875_AFBE_C9975152FF6D_.wvu.Rows" localSheetId="3" hidden="1">'LAST DAY'!$62:$63</definedName>
    <definedName name="Z_A31020AA_FEEF_4C36_BC93_A6FB09B83AD8_.wvu.FilterData" localSheetId="0" hidden="1">'1st Shift'!$A$4:$G$4</definedName>
    <definedName name="Z_A31020AA_FEEF_4C36_BC93_A6FB09B83AD8_.wvu.FilterData" localSheetId="1" hidden="1">'2nd Shift'!$A$4:$G$4</definedName>
    <definedName name="Z_A31020AA_FEEF_4C36_BC93_A6FB09B83AD8_.wvu.FilterData" localSheetId="2" hidden="1">'3rd Shift'!$A$4:$G$4</definedName>
    <definedName name="Z_A31020AA_FEEF_4C36_BC93_A6FB09B83AD8_.wvu.FilterData" localSheetId="3" hidden="1">'LAST DAY'!$A$4:$G$4</definedName>
    <definedName name="Z_CC3BCED8_8A39_443F_B838_EFDA1E5CE6AB_.wvu.FilterData" localSheetId="0" hidden="1">'1st Shift'!$A$4:$G$4</definedName>
    <definedName name="Z_CC3BCED8_8A39_443F_B838_EFDA1E5CE6AB_.wvu.FilterData" localSheetId="1" hidden="1">'2nd Shift'!$A$4:$G$4</definedName>
    <definedName name="Z_CC3BCED8_8A39_443F_B838_EFDA1E5CE6AB_.wvu.FilterData" localSheetId="2" hidden="1">'3rd Shift'!$A$4:$G$4</definedName>
    <definedName name="Z_CC3BCED8_8A39_443F_B838_EFDA1E5CE6AB_.wvu.FilterData" localSheetId="3" hidden="1">'LAST DAY'!$A$4:$G$4</definedName>
    <definedName name="Z_CC3BCED8_8A39_443F_B838_EFDA1E5CE6AB_.wvu.Rows" localSheetId="0" hidden="1">'1st Shift'!$59:$60</definedName>
    <definedName name="Z_CC3BCED8_8A39_443F_B838_EFDA1E5CE6AB_.wvu.Rows" localSheetId="1" hidden="1">'2nd Shift'!$62:$63</definedName>
    <definedName name="Z_CC3BCED8_8A39_443F_B838_EFDA1E5CE6AB_.wvu.Rows" localSheetId="2" hidden="1">'3rd Shift'!$62:$63</definedName>
    <definedName name="Z_CC3BCED8_8A39_443F_B838_EFDA1E5CE6AB_.wvu.Rows" localSheetId="3" hidden="1">'LAST DAY'!$62:$63</definedName>
  </definedNames>
  <calcPr calcId="191029"/>
  <customWorkbookViews>
    <customWorkbookView name="Shane Turbeville - Personal View" guid="{65261948-82E8-49A2-BAB3-E584B03EBF7A}" mergeInterval="0" personalView="1" maximized="1" xWindow="-8" yWindow="-8" windowWidth="1936" windowHeight="1056" activeSheetId="1"/>
    <customWorkbookView name="Windows User - Personal View" guid="{CC3BCED8-8A39-443F-B838-EFDA1E5CE6AB}" mergeInterval="0" personalView="1" maximized="1" xWindow="-8" yWindow="-8" windowWidth="1936" windowHeight="1056" activeSheetId="1"/>
    <customWorkbookView name="Turbeville, Matthew (EXTERNAL) - Personal View" guid="{9E995672-D6BA-4875-AFBE-C9975152FF6D}" mergeInterval="0" personalView="1" maximized="1" xWindow="-8" yWindow="-8" windowWidth="1936" windowHeight="1056" activeSheetId="1"/>
    <customWorkbookView name="Lowery, Brandon (EXTERNAL) - Personal View" guid="{8FC35363-868F-4EDE-AB9E-1079786AF750}" mergeInterval="0" personalView="1" maximized="1" xWindow="-8" yWindow="-8" windowWidth="1936" windowHeight="1056" activeSheetId="1"/>
    <customWorkbookView name="Brandon Lowery - Personal View" guid="{A31020AA-FEEF-4C36-BC93-A6FB09B83AD8}" mergeInterval="0" personalView="1" maximized="1" xWindow="-8" yWindow="-8" windowWidth="2576" windowHeight="141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4" i="3" l="1"/>
  <c r="N34" i="3"/>
  <c r="L34" i="3"/>
  <c r="P34" i="2"/>
  <c r="N34" i="2"/>
  <c r="L34" i="2"/>
  <c r="P34" i="1"/>
  <c r="N34" i="1"/>
  <c r="L34" i="1"/>
  <c r="AD35" i="4" l="1"/>
  <c r="AB35" i="4"/>
  <c r="Z35" i="4"/>
  <c r="X35" i="4"/>
  <c r="V35" i="4"/>
  <c r="T35" i="4"/>
  <c r="R35" i="4"/>
  <c r="P35" i="4"/>
  <c r="N35" i="4"/>
  <c r="L35" i="4"/>
  <c r="X34" i="4"/>
  <c r="V34" i="4"/>
  <c r="P34" i="4"/>
  <c r="N34" i="4"/>
  <c r="L34" i="4"/>
  <c r="BE30" i="4"/>
  <c r="BB30" i="4"/>
  <c r="AY30" i="4"/>
  <c r="AV30" i="4"/>
  <c r="AT30" i="4"/>
  <c r="AO30" i="4"/>
  <c r="AM30" i="4"/>
  <c r="AK30" i="4"/>
  <c r="AH30" i="4"/>
  <c r="AE30" i="4"/>
  <c r="AA30" i="4"/>
  <c r="Z30" i="4"/>
  <c r="Y30" i="4"/>
  <c r="X30" i="4"/>
  <c r="W30" i="4"/>
  <c r="V30" i="4"/>
  <c r="U30" i="4"/>
  <c r="Q30" i="4"/>
  <c r="P30" i="4"/>
  <c r="O30" i="4"/>
  <c r="N30" i="4"/>
  <c r="M30" i="4"/>
  <c r="L30" i="4"/>
  <c r="K30" i="4"/>
  <c r="J30" i="4"/>
  <c r="F30" i="4"/>
  <c r="E30" i="4"/>
  <c r="D30" i="4"/>
  <c r="C30" i="4"/>
  <c r="B30" i="4"/>
  <c r="A30" i="4"/>
  <c r="A26" i="4"/>
  <c r="W25" i="4"/>
  <c r="W24" i="4"/>
  <c r="W23" i="4"/>
  <c r="W22" i="4"/>
  <c r="W21" i="4"/>
  <c r="W20" i="4"/>
  <c r="W19" i="4"/>
  <c r="W18" i="4"/>
  <c r="W17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AD35" i="3"/>
  <c r="AB35" i="3"/>
  <c r="Z35" i="3"/>
  <c r="X35" i="3"/>
  <c r="V35" i="3"/>
  <c r="T35" i="3"/>
  <c r="R35" i="3"/>
  <c r="P35" i="3"/>
  <c r="N35" i="3"/>
  <c r="L35" i="3"/>
  <c r="X34" i="3"/>
  <c r="V34" i="3"/>
  <c r="BE30" i="3"/>
  <c r="BB30" i="3"/>
  <c r="AY30" i="3"/>
  <c r="AV30" i="3"/>
  <c r="AT30" i="3"/>
  <c r="AO30" i="3"/>
  <c r="AM30" i="3"/>
  <c r="AK30" i="3"/>
  <c r="AH30" i="3"/>
  <c r="AE30" i="3"/>
  <c r="AA30" i="3"/>
  <c r="Z30" i="3"/>
  <c r="Y30" i="3"/>
  <c r="X30" i="3"/>
  <c r="W30" i="3"/>
  <c r="V30" i="3"/>
  <c r="U30" i="3"/>
  <c r="Q30" i="3"/>
  <c r="P30" i="3"/>
  <c r="O30" i="3"/>
  <c r="N30" i="3"/>
  <c r="M30" i="3"/>
  <c r="L30" i="3"/>
  <c r="K30" i="3"/>
  <c r="J30" i="3"/>
  <c r="F30" i="3"/>
  <c r="E30" i="3"/>
  <c r="D30" i="3"/>
  <c r="C30" i="3"/>
  <c r="B30" i="3"/>
  <c r="A30" i="3"/>
  <c r="A26" i="3"/>
  <c r="W25" i="3"/>
  <c r="W24" i="3"/>
  <c r="W23" i="3"/>
  <c r="W22" i="3"/>
  <c r="W21" i="3"/>
  <c r="W20" i="3"/>
  <c r="W19" i="3"/>
  <c r="W18" i="3"/>
  <c r="W17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AD35" i="2"/>
  <c r="AB35" i="2"/>
  <c r="Z35" i="2"/>
  <c r="X35" i="2"/>
  <c r="V35" i="2"/>
  <c r="T35" i="2"/>
  <c r="R35" i="2"/>
  <c r="P35" i="2"/>
  <c r="N35" i="2"/>
  <c r="L35" i="2"/>
  <c r="X34" i="2"/>
  <c r="V34" i="2"/>
  <c r="BE30" i="2"/>
  <c r="BB30" i="2"/>
  <c r="AY30" i="2"/>
  <c r="AV30" i="2"/>
  <c r="AT30" i="2"/>
  <c r="AO30" i="2"/>
  <c r="AM30" i="2"/>
  <c r="AK30" i="2"/>
  <c r="AH30" i="2"/>
  <c r="AE30" i="2"/>
  <c r="AA30" i="2"/>
  <c r="Z30" i="2"/>
  <c r="Y30" i="2"/>
  <c r="X30" i="2"/>
  <c r="W30" i="2"/>
  <c r="V30" i="2"/>
  <c r="U30" i="2"/>
  <c r="Q30" i="2"/>
  <c r="P30" i="2"/>
  <c r="O30" i="2"/>
  <c r="N30" i="2"/>
  <c r="M30" i="2"/>
  <c r="L30" i="2"/>
  <c r="K30" i="2"/>
  <c r="J30" i="2"/>
  <c r="F30" i="2"/>
  <c r="E30" i="2"/>
  <c r="D30" i="2"/>
  <c r="C30" i="2"/>
  <c r="B30" i="2"/>
  <c r="A30" i="2"/>
  <c r="A26" i="2"/>
  <c r="W25" i="2"/>
  <c r="W24" i="2"/>
  <c r="W23" i="2"/>
  <c r="W22" i="2"/>
  <c r="W21" i="2"/>
  <c r="W20" i="2"/>
  <c r="W19" i="2"/>
  <c r="W18" i="2"/>
  <c r="W17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AG34" i="4"/>
  <c r="AG34" i="2"/>
  <c r="AG34" i="3"/>
  <c r="AQ30" i="4" l="1"/>
  <c r="G30" i="4"/>
  <c r="G30" i="2"/>
  <c r="R30" i="4"/>
  <c r="AB30" i="4"/>
  <c r="W26" i="4"/>
  <c r="AQ30" i="3"/>
  <c r="AB30" i="3"/>
  <c r="R30" i="3"/>
  <c r="G30" i="3"/>
  <c r="W26" i="3"/>
  <c r="G33" i="1" s="1"/>
  <c r="R30" i="2"/>
  <c r="AQ30" i="2"/>
  <c r="AB30" i="2"/>
  <c r="W26" i="2"/>
  <c r="G33" i="3" s="1"/>
  <c r="AD35" i="1"/>
  <c r="AB35" i="1"/>
  <c r="Z35" i="1"/>
  <c r="X35" i="1"/>
  <c r="X34" i="1"/>
  <c r="V35" i="1"/>
  <c r="V34" i="1"/>
  <c r="T35" i="1"/>
  <c r="R35" i="1"/>
  <c r="P35" i="1"/>
  <c r="N35" i="1"/>
  <c r="L35" i="1"/>
  <c r="AY30" i="1"/>
  <c r="BB30" i="1"/>
  <c r="BE30" i="1"/>
  <c r="AV30" i="1"/>
  <c r="AT30" i="1"/>
  <c r="AE30" i="1"/>
  <c r="AH30" i="1"/>
  <c r="W24" i="1"/>
  <c r="W22" i="1"/>
  <c r="W20" i="1"/>
  <c r="W18" i="1"/>
  <c r="W15" i="1"/>
  <c r="W13" i="1"/>
  <c r="W11" i="1"/>
  <c r="W9" i="1"/>
  <c r="W25" i="1"/>
  <c r="W23" i="1"/>
  <c r="W21" i="1"/>
  <c r="W19" i="1"/>
  <c r="W17" i="1"/>
  <c r="W14" i="1"/>
  <c r="W12" i="1"/>
  <c r="W10" i="1"/>
  <c r="W8" i="1"/>
  <c r="AG34" i="1"/>
  <c r="W7" i="1" l="1"/>
  <c r="W6" i="1"/>
  <c r="W5" i="1"/>
  <c r="W4" i="1"/>
  <c r="W3" i="1"/>
  <c r="AO30" i="1" l="1"/>
  <c r="AM30" i="1"/>
  <c r="AK30" i="1"/>
  <c r="AA30" i="1"/>
  <c r="Z30" i="1"/>
  <c r="Y30" i="1"/>
  <c r="X30" i="1"/>
  <c r="W30" i="1"/>
  <c r="V30" i="1"/>
  <c r="U30" i="1"/>
  <c r="Q30" i="1"/>
  <c r="P30" i="1"/>
  <c r="O30" i="1"/>
  <c r="N30" i="1"/>
  <c r="M30" i="1"/>
  <c r="L30" i="1"/>
  <c r="K30" i="1"/>
  <c r="J30" i="1"/>
  <c r="F30" i="1"/>
  <c r="E30" i="1"/>
  <c r="D30" i="1"/>
  <c r="C30" i="1"/>
  <c r="B30" i="1"/>
  <c r="A30" i="1"/>
  <c r="A26" i="1"/>
  <c r="G30" i="1" l="1"/>
  <c r="AQ30" i="1"/>
  <c r="R30" i="1"/>
  <c r="AB30" i="1"/>
  <c r="W26" i="1"/>
  <c r="G33" i="2" l="1"/>
  <c r="G33" i="4"/>
</calcChain>
</file>

<file path=xl/sharedStrings.xml><?xml version="1.0" encoding="utf-8"?>
<sst xmlns="http://schemas.openxmlformats.org/spreadsheetml/2006/main" count="356" uniqueCount="45">
  <si>
    <t>SWK</t>
  </si>
  <si>
    <t>Flags</t>
  </si>
  <si>
    <t>MK1</t>
  </si>
  <si>
    <t>C2</t>
  </si>
  <si>
    <t>SW1C</t>
  </si>
  <si>
    <t>SWB10</t>
  </si>
  <si>
    <t>SWB11</t>
  </si>
  <si>
    <t>MX1</t>
  </si>
  <si>
    <t>TOTAL</t>
  </si>
  <si>
    <t>DOCK SUMMARIES</t>
  </si>
  <si>
    <t>Total Flags This Shift</t>
  </si>
  <si>
    <t>Flags Worked This Shift</t>
  </si>
  <si>
    <t>Flags From Last Shift</t>
  </si>
  <si>
    <t>EDIT</t>
  </si>
  <si>
    <t>Route</t>
  </si>
  <si>
    <t>SHIFT SUMMARY</t>
  </si>
  <si>
    <t>Dock</t>
  </si>
  <si>
    <t>HEAVIEST ROUTES BY DOCK</t>
  </si>
  <si>
    <t>SW86</t>
  </si>
  <si>
    <t>ROLLING PICKS</t>
  </si>
  <si>
    <t>SWA10</t>
  </si>
  <si>
    <t>SWA11</t>
  </si>
  <si>
    <t>1W</t>
  </si>
  <si>
    <t>CYCLE</t>
  </si>
  <si>
    <t>DK 41</t>
  </si>
  <si>
    <t>DK 24</t>
  </si>
  <si>
    <t>DK 25</t>
  </si>
  <si>
    <t>DK 23</t>
  </si>
  <si>
    <t>DK 81</t>
  </si>
  <si>
    <t>DK 82</t>
  </si>
  <si>
    <t>DK 55</t>
  </si>
  <si>
    <t>DK 71</t>
  </si>
  <si>
    <t>DK 1W</t>
  </si>
  <si>
    <t>MH4</t>
  </si>
  <si>
    <t>MH1</t>
  </si>
  <si>
    <t>DK 16</t>
  </si>
  <si>
    <t>MX4</t>
  </si>
  <si>
    <t>Cycle</t>
  </si>
  <si>
    <t>SELECT PREVIOUS SHIFT</t>
  </si>
  <si>
    <t>- 1st Shift</t>
  </si>
  <si>
    <t>- 2nd Shift</t>
  </si>
  <si>
    <t>- LAST DAY</t>
  </si>
  <si>
    <t>- 3rd Shift</t>
  </si>
  <si>
    <t>SW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</si>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</sst>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h:mm;@"/>
  </numFmts>
  <fonts count="18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36"/>
      <color theme="1"/>
      <name val="Arial"/>
      <family val="2"/>
    </font>
    <font>
      <b/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theme="0"/>
      <name val="Arial Black"/>
      <family val="2"/>
    </font>
    <font>
      <sz val="11"/>
      <color theme="1" tint="0.34998626667073579"/>
      <name val="Calibri"/>
      <family val="2"/>
      <scheme val="minor"/>
    </font>
    <font>
      <b/>
      <sz val="20"/>
      <color rgb="FF000000"/>
      <name val="Arial Black"/>
      <family val="2"/>
    </font>
    <font>
      <b/>
      <sz val="22"/>
      <name val="Arial"/>
      <family val="2"/>
    </font>
    <font>
      <b/>
      <sz val="22"/>
      <color theme="0"/>
      <name val="Calibri"/>
      <family val="2"/>
      <scheme val="minor"/>
    </font>
    <font>
      <sz val="28"/>
      <color theme="0"/>
      <name val="Arial Black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5">
    <xf numFmtId="0" fontId="0" fillId="0" borderId="0" xfId="0"/>
    <xf numFmtId="0" fontId="4" fillId="2" borderId="1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26" xfId="0" applyFont="1" applyFill="1" applyBorder="1" applyAlignment="1" applyProtection="1">
      <alignment horizontal="center" vertical="center"/>
    </xf>
    <xf numFmtId="0" fontId="7" fillId="0" borderId="38" xfId="0" applyFont="1" applyFill="1" applyBorder="1" applyAlignment="1" applyProtection="1">
      <alignment horizontal="center" vertical="center"/>
    </xf>
    <xf numFmtId="0" fontId="7" fillId="0" borderId="40" xfId="0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/>
    <xf numFmtId="0" fontId="0" fillId="5" borderId="0" xfId="0" applyFill="1" applyBorder="1" applyProtection="1"/>
    <xf numFmtId="0" fontId="0" fillId="5" borderId="0" xfId="0" applyFill="1" applyProtection="1"/>
    <xf numFmtId="0" fontId="7" fillId="5" borderId="0" xfId="0" applyFont="1" applyFill="1" applyBorder="1" applyAlignment="1" applyProtection="1">
      <alignment horizontal="center" vertical="center"/>
    </xf>
    <xf numFmtId="0" fontId="0" fillId="5" borderId="31" xfId="0" applyFill="1" applyBorder="1" applyAlignment="1" applyProtection="1"/>
    <xf numFmtId="0" fontId="5" fillId="5" borderId="0" xfId="0" applyFont="1" applyFill="1" applyBorder="1" applyAlignment="1" applyProtection="1">
      <alignment vertical="center"/>
    </xf>
    <xf numFmtId="0" fontId="1" fillId="3" borderId="44" xfId="0" applyFont="1" applyFill="1" applyBorder="1" applyAlignment="1" applyProtection="1">
      <alignment horizontal="center" vertical="center"/>
    </xf>
    <xf numFmtId="0" fontId="1" fillId="3" borderId="9" xfId="0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12" fillId="5" borderId="0" xfId="0" applyFont="1" applyFill="1" applyBorder="1" applyAlignment="1" applyProtection="1"/>
    <xf numFmtId="0" fontId="4" fillId="2" borderId="66" xfId="0" applyFont="1" applyFill="1" applyBorder="1" applyAlignment="1" applyProtection="1">
      <alignment horizontal="center" vertical="center"/>
    </xf>
    <xf numFmtId="0" fontId="4" fillId="2" borderId="12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2" borderId="2" xfId="0" applyFont="1" applyFill="1" applyBorder="1" applyAlignment="1" applyProtection="1">
      <alignment horizontal="center" vertical="center"/>
    </xf>
    <xf numFmtId="0" fontId="1" fillId="3" borderId="37" xfId="0" applyFont="1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12" fillId="5" borderId="0" xfId="0" applyFont="1" applyFill="1" applyProtection="1">
      <protection locked="0" hidden="1"/>
    </xf>
    <xf numFmtId="0" fontId="4" fillId="0" borderId="88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59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90" xfId="0" applyFont="1" applyBorder="1" applyAlignment="1" applyProtection="1">
      <alignment horizontal="center" vertical="center"/>
      <protection locked="0"/>
    </xf>
    <xf numFmtId="0" fontId="7" fillId="0" borderId="36" xfId="0" applyFont="1" applyFill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/>
    </xf>
    <xf numFmtId="0" fontId="1" fillId="3" borderId="55" xfId="0" applyFont="1" applyFill="1" applyBorder="1" applyAlignment="1" applyProtection="1">
      <alignment horizontal="center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83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7" fillId="0" borderId="27" xfId="0" applyFont="1" applyFill="1" applyBorder="1" applyAlignment="1" applyProtection="1">
      <alignment horizontal="center" vertical="center"/>
    </xf>
    <xf numFmtId="0" fontId="4" fillId="0" borderId="84" xfId="0" applyFont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 applyProtection="1">
      <alignment horizontal="center" vertical="center"/>
    </xf>
    <xf numFmtId="0" fontId="4" fillId="2" borderId="80" xfId="0" applyFont="1" applyFill="1" applyBorder="1" applyAlignment="1" applyProtection="1">
      <alignment horizontal="center" vertical="center"/>
    </xf>
    <xf numFmtId="0" fontId="4" fillId="0" borderId="112" xfId="0" applyFont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3" fillId="5" borderId="0" xfId="0" applyFont="1" applyFill="1" applyBorder="1" applyAlignment="1" applyProtection="1">
      <alignment horizontal="right" vertical="center"/>
    </xf>
    <xf numFmtId="0" fontId="5" fillId="5" borderId="0" xfId="0" applyFont="1" applyFill="1" applyBorder="1" applyAlignment="1" applyProtection="1">
      <alignment horizontal="center" vertical="center"/>
    </xf>
    <xf numFmtId="0" fontId="10" fillId="5" borderId="0" xfId="0" applyNumberFormat="1" applyFont="1" applyFill="1" applyBorder="1" applyAlignment="1" applyProtection="1">
      <alignment horizontal="center" vertical="center"/>
    </xf>
    <xf numFmtId="0" fontId="14" fillId="5" borderId="0" xfId="0" applyFont="1" applyFill="1" applyBorder="1" applyAlignment="1" applyProtection="1">
      <alignment vertical="center"/>
    </xf>
    <xf numFmtId="0" fontId="3" fillId="5" borderId="31" xfId="0" applyFont="1" applyFill="1" applyBorder="1" applyAlignment="1" applyProtection="1">
      <alignment horizontal="right" vertical="center"/>
    </xf>
    <xf numFmtId="0" fontId="10" fillId="5" borderId="73" xfId="0" applyFont="1" applyFill="1" applyBorder="1" applyAlignment="1" applyProtection="1">
      <alignment horizontal="center" vertical="center"/>
    </xf>
    <xf numFmtId="0" fontId="0" fillId="5" borderId="73" xfId="0" applyFill="1" applyBorder="1" applyAlignment="1" applyProtection="1"/>
    <xf numFmtId="0" fontId="0" fillId="5" borderId="19" xfId="0" applyFill="1" applyBorder="1" applyProtection="1"/>
    <xf numFmtId="0" fontId="0" fillId="5" borderId="21" xfId="0" applyFill="1" applyBorder="1" applyProtection="1"/>
    <xf numFmtId="0" fontId="0" fillId="5" borderId="117" xfId="0" applyFill="1" applyBorder="1" applyProtection="1"/>
    <xf numFmtId="0" fontId="0" fillId="0" borderId="0" xfId="0" applyFill="1" applyProtection="1"/>
    <xf numFmtId="0" fontId="1" fillId="3" borderId="4" xfId="0" applyFont="1" applyFill="1" applyBorder="1" applyAlignment="1" applyProtection="1">
      <alignment horizontal="center"/>
    </xf>
    <xf numFmtId="0" fontId="1" fillId="3" borderId="55" xfId="0" applyFont="1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27" xfId="0" applyFont="1" applyFill="1" applyBorder="1" applyAlignment="1" applyProtection="1">
      <alignment horizontal="center" vertical="center"/>
    </xf>
    <xf numFmtId="0" fontId="7" fillId="0" borderId="40" xfId="0" applyFont="1" applyFill="1" applyBorder="1" applyAlignment="1" applyProtection="1">
      <alignment horizontal="center" vertical="center"/>
    </xf>
    <xf numFmtId="0" fontId="12" fillId="5" borderId="0" xfId="0" applyFont="1" applyFill="1" applyProtection="1"/>
    <xf numFmtId="0" fontId="12" fillId="5" borderId="0" xfId="0" applyFont="1" applyFill="1" applyProtection="1">
      <protection locked="0"/>
    </xf>
    <xf numFmtId="0" fontId="17" fillId="0" borderId="0" xfId="0" applyFont="1" applyProtection="1"/>
    <xf numFmtId="0" fontId="4" fillId="0" borderId="121" xfId="0" applyFont="1" applyBorder="1" applyAlignment="1" applyProtection="1">
      <alignment horizontal="center" vertical="center"/>
      <protection locked="0"/>
    </xf>
    <xf numFmtId="0" fontId="4" fillId="0" borderId="122" xfId="0" applyFont="1" applyBorder="1" applyAlignment="1" applyProtection="1">
      <alignment horizontal="center" vertical="center"/>
      <protection locked="0"/>
    </xf>
    <xf numFmtId="0" fontId="4" fillId="0" borderId="124" xfId="0" applyFont="1" applyBorder="1" applyAlignment="1" applyProtection="1">
      <alignment horizontal="center" vertical="center"/>
      <protection locked="0"/>
    </xf>
    <xf numFmtId="0" fontId="4" fillId="0" borderId="125" xfId="0" applyFont="1" applyBorder="1" applyAlignment="1" applyProtection="1">
      <alignment horizontal="center" vertical="center"/>
      <protection locked="0"/>
    </xf>
    <xf numFmtId="0" fontId="4" fillId="0" borderId="126" xfId="0" applyFont="1" applyBorder="1" applyAlignment="1" applyProtection="1">
      <alignment horizontal="center" vertical="center"/>
      <protection locked="0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center" vertical="center"/>
    </xf>
    <xf numFmtId="0" fontId="4" fillId="2" borderId="139" xfId="0" applyFont="1" applyFill="1" applyBorder="1" applyAlignment="1" applyProtection="1">
      <alignment horizontal="center" vertical="center"/>
    </xf>
    <xf numFmtId="0" fontId="4" fillId="2" borderId="37" xfId="0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55" xfId="0" applyFont="1" applyFill="1" applyBorder="1" applyAlignment="1" applyProtection="1">
      <alignment horizontal="center" vertical="center"/>
    </xf>
    <xf numFmtId="0" fontId="7" fillId="0" borderId="40" xfId="0" applyFont="1" applyFill="1" applyBorder="1" applyAlignment="1" applyProtection="1">
      <alignment horizontal="center" vertical="center"/>
    </xf>
    <xf numFmtId="0" fontId="7" fillId="0" borderId="104" xfId="0" applyFont="1" applyFill="1" applyBorder="1" applyAlignment="1" applyProtection="1">
      <alignment horizontal="center" vertical="center"/>
    </xf>
    <xf numFmtId="0" fontId="7" fillId="0" borderId="59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34" xfId="0" applyFont="1" applyFill="1" applyBorder="1" applyAlignment="1" applyProtection="1">
      <alignment horizontal="center" vertical="center"/>
    </xf>
    <xf numFmtId="0" fontId="3" fillId="4" borderId="35" xfId="0" applyFont="1" applyFill="1" applyBorder="1" applyAlignment="1" applyProtection="1">
      <alignment horizontal="center" vertical="center"/>
    </xf>
    <xf numFmtId="0" fontId="3" fillId="4" borderId="42" xfId="0" applyFont="1" applyFill="1" applyBorder="1" applyAlignment="1" applyProtection="1">
      <alignment horizontal="center" vertical="center"/>
    </xf>
    <xf numFmtId="0" fontId="3" fillId="4" borderId="43" xfId="0" applyFont="1" applyFill="1" applyBorder="1" applyAlignment="1" applyProtection="1">
      <alignment horizontal="center" vertical="center"/>
    </xf>
    <xf numFmtId="0" fontId="10" fillId="0" borderId="114" xfId="0" applyFont="1" applyFill="1" applyBorder="1" applyAlignment="1" applyProtection="1">
      <alignment horizontal="center" vertical="center"/>
    </xf>
    <xf numFmtId="0" fontId="10" fillId="0" borderId="115" xfId="0" applyFont="1" applyFill="1" applyBorder="1" applyAlignment="1" applyProtection="1">
      <alignment horizontal="center" vertical="center"/>
    </xf>
    <xf numFmtId="0" fontId="10" fillId="0" borderId="116" xfId="0" applyFont="1" applyFill="1" applyBorder="1" applyAlignment="1" applyProtection="1">
      <alignment horizontal="center" vertical="center"/>
    </xf>
    <xf numFmtId="165" fontId="4" fillId="4" borderId="8" xfId="0" applyNumberFormat="1" applyFont="1" applyFill="1" applyBorder="1" applyAlignment="1" applyProtection="1">
      <alignment horizontal="center" vertical="center"/>
      <protection locked="0"/>
    </xf>
    <xf numFmtId="165" fontId="4" fillId="4" borderId="99" xfId="0" applyNumberFormat="1" applyFont="1" applyFill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80" xfId="0" applyFont="1" applyBorder="1" applyAlignment="1" applyProtection="1">
      <alignment horizontal="center" vertical="center"/>
      <protection locked="0"/>
    </xf>
    <xf numFmtId="165" fontId="4" fillId="4" borderId="3" xfId="0" applyNumberFormat="1" applyFont="1" applyFill="1" applyBorder="1" applyAlignment="1" applyProtection="1">
      <alignment horizontal="center" vertical="center"/>
      <protection locked="0"/>
    </xf>
    <xf numFmtId="165" fontId="4" fillId="4" borderId="13" xfId="0" applyNumberFormat="1" applyFont="1" applyFill="1" applyBorder="1" applyAlignment="1" applyProtection="1">
      <alignment horizontal="center" vertical="center"/>
      <protection locked="0"/>
    </xf>
    <xf numFmtId="165" fontId="4" fillId="4" borderId="53" xfId="0" applyNumberFormat="1" applyFont="1" applyFill="1" applyBorder="1" applyAlignment="1" applyProtection="1">
      <alignment horizontal="center" vertical="center"/>
      <protection locked="0"/>
    </xf>
    <xf numFmtId="165" fontId="4" fillId="4" borderId="33" xfId="0" applyNumberFormat="1" applyFont="1" applyFill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81" xfId="0" applyFont="1" applyBorder="1" applyAlignment="1" applyProtection="1">
      <alignment horizontal="center" vertical="center"/>
      <protection locked="0"/>
    </xf>
    <xf numFmtId="165" fontId="4" fillId="4" borderId="79" xfId="0" applyNumberFormat="1" applyFont="1" applyFill="1" applyBorder="1" applyAlignment="1" applyProtection="1">
      <alignment horizontal="center" vertical="center"/>
      <protection locked="0"/>
    </xf>
    <xf numFmtId="49" fontId="4" fillId="4" borderId="71" xfId="0" applyNumberFormat="1" applyFont="1" applyFill="1" applyBorder="1" applyAlignment="1" applyProtection="1">
      <alignment horizontal="center" vertical="center"/>
      <protection locked="0"/>
    </xf>
    <xf numFmtId="49" fontId="4" fillId="4" borderId="13" xfId="0" applyNumberFormat="1" applyFont="1" applyFill="1" applyBorder="1" applyAlignment="1" applyProtection="1">
      <alignment horizontal="center" vertical="center"/>
      <protection locked="0"/>
    </xf>
    <xf numFmtId="0" fontId="4" fillId="0" borderId="79" xfId="0" applyFont="1" applyFill="1" applyBorder="1" applyAlignment="1" applyProtection="1">
      <alignment horizontal="center" vertical="center"/>
      <protection locked="0"/>
    </xf>
    <xf numFmtId="0" fontId="4" fillId="0" borderId="81" xfId="0" applyFont="1" applyFill="1" applyBorder="1" applyAlignment="1" applyProtection="1">
      <alignment horizontal="center" vertical="center"/>
      <protection locked="0"/>
    </xf>
    <xf numFmtId="49" fontId="6" fillId="3" borderId="57" xfId="0" applyNumberFormat="1" applyFont="1" applyFill="1" applyBorder="1" applyAlignment="1" applyProtection="1">
      <alignment horizontal="center" vertical="center"/>
    </xf>
    <xf numFmtId="49" fontId="6" fillId="3" borderId="86" xfId="0" applyNumberFormat="1" applyFont="1" applyFill="1" applyBorder="1" applyAlignment="1" applyProtection="1">
      <alignment horizontal="center" vertical="center"/>
    </xf>
    <xf numFmtId="49" fontId="4" fillId="6" borderId="51" xfId="0" applyNumberFormat="1" applyFont="1" applyFill="1" applyBorder="1" applyAlignment="1" applyProtection="1">
      <alignment horizontal="center" vertical="center"/>
    </xf>
    <xf numFmtId="49" fontId="4" fillId="6" borderId="16" xfId="0" applyNumberFormat="1" applyFont="1" applyFill="1" applyBorder="1" applyAlignment="1" applyProtection="1">
      <alignment horizontal="center" vertical="center"/>
    </xf>
    <xf numFmtId="49" fontId="4" fillId="4" borderId="72" xfId="0" applyNumberFormat="1" applyFont="1" applyFill="1" applyBorder="1" applyAlignment="1" applyProtection="1">
      <alignment horizontal="center" vertical="center"/>
      <protection locked="0"/>
    </xf>
    <xf numFmtId="49" fontId="4" fillId="4" borderId="33" xfId="0" applyNumberFormat="1" applyFont="1" applyFill="1" applyBorder="1" applyAlignment="1" applyProtection="1">
      <alignment horizontal="center" vertical="center"/>
      <protection locked="0"/>
    </xf>
    <xf numFmtId="165" fontId="10" fillId="0" borderId="60" xfId="0" applyNumberFormat="1" applyFont="1" applyFill="1" applyBorder="1" applyAlignment="1" applyProtection="1">
      <alignment horizontal="center" vertical="center"/>
    </xf>
    <xf numFmtId="0" fontId="5" fillId="3" borderId="32" xfId="0" applyFont="1" applyFill="1" applyBorder="1" applyAlignment="1" applyProtection="1">
      <alignment horizontal="center" vertical="center"/>
    </xf>
    <xf numFmtId="0" fontId="10" fillId="0" borderId="61" xfId="0" applyFont="1" applyFill="1" applyBorder="1" applyAlignment="1" applyProtection="1">
      <alignment horizontal="center" vertical="center"/>
    </xf>
    <xf numFmtId="0" fontId="6" fillId="3" borderId="86" xfId="0" applyFont="1" applyFill="1" applyBorder="1" applyAlignment="1" applyProtection="1">
      <alignment horizontal="center" vertical="center"/>
    </xf>
    <xf numFmtId="0" fontId="6" fillId="3" borderId="23" xfId="0" applyNumberFormat="1" applyFont="1" applyFill="1" applyBorder="1" applyAlignment="1" applyProtection="1">
      <alignment horizontal="center" vertical="center"/>
    </xf>
    <xf numFmtId="0" fontId="6" fillId="3" borderId="82" xfId="0" applyNumberFormat="1" applyFont="1" applyFill="1" applyBorder="1" applyAlignment="1" applyProtection="1">
      <alignment horizontal="center" vertical="center"/>
    </xf>
    <xf numFmtId="0" fontId="4" fillId="2" borderId="12" xfId="0" applyNumberFormat="1" applyFont="1" applyFill="1" applyBorder="1" applyAlignment="1" applyProtection="1">
      <alignment horizontal="center" vertical="center"/>
    </xf>
    <xf numFmtId="0" fontId="4" fillId="2" borderId="13" xfId="0" applyNumberFormat="1" applyFont="1" applyFill="1" applyBorder="1" applyAlignment="1" applyProtection="1">
      <alignment horizontal="center" vertical="center"/>
    </xf>
    <xf numFmtId="0" fontId="4" fillId="6" borderId="109" xfId="0" applyNumberFormat="1" applyFont="1" applyFill="1" applyBorder="1" applyAlignment="1" applyProtection="1">
      <alignment horizontal="center" vertical="center"/>
    </xf>
    <xf numFmtId="0" fontId="4" fillId="6" borderId="16" xfId="0" applyNumberFormat="1" applyFont="1" applyFill="1" applyBorder="1" applyAlignment="1" applyProtection="1">
      <alignment horizontal="center" vertical="center"/>
    </xf>
    <xf numFmtId="0" fontId="4" fillId="0" borderId="78" xfId="0" applyFont="1" applyFill="1" applyBorder="1" applyAlignment="1" applyProtection="1">
      <alignment horizontal="center" vertical="center"/>
      <protection locked="0"/>
    </xf>
    <xf numFmtId="0" fontId="4" fillId="0" borderId="80" xfId="0" applyFont="1" applyFill="1" applyBorder="1" applyAlignment="1" applyProtection="1">
      <alignment horizontal="center" vertical="center"/>
      <protection locked="0"/>
    </xf>
    <xf numFmtId="165" fontId="4" fillId="4" borderId="78" xfId="0" applyNumberFormat="1" applyFont="1" applyFill="1" applyBorder="1" applyAlignment="1" applyProtection="1">
      <alignment horizontal="center" vertical="center"/>
      <protection locked="0"/>
    </xf>
    <xf numFmtId="49" fontId="1" fillId="4" borderId="97" xfId="0" applyNumberFormat="1" applyFont="1" applyFill="1" applyBorder="1" applyAlignment="1" applyProtection="1">
      <alignment horizontal="center"/>
    </xf>
    <xf numFmtId="49" fontId="1" fillId="4" borderId="78" xfId="0" applyNumberFormat="1" applyFont="1" applyFill="1" applyBorder="1" applyAlignment="1" applyProtection="1">
      <alignment horizontal="center"/>
    </xf>
    <xf numFmtId="0" fontId="5" fillId="3" borderId="35" xfId="0" applyFont="1" applyFill="1" applyBorder="1" applyAlignment="1" applyProtection="1">
      <alignment horizontal="center" vertical="center"/>
    </xf>
    <xf numFmtId="0" fontId="5" fillId="3" borderId="43" xfId="0" applyFont="1" applyFill="1" applyBorder="1" applyAlignment="1" applyProtection="1">
      <alignment horizontal="center" vertical="center"/>
    </xf>
    <xf numFmtId="49" fontId="1" fillId="4" borderId="95" xfId="0" applyNumberFormat="1" applyFont="1" applyFill="1" applyBorder="1" applyAlignment="1" applyProtection="1">
      <alignment horizontal="center"/>
    </xf>
    <xf numFmtId="49" fontId="1" fillId="4" borderId="79" xfId="0" applyNumberFormat="1" applyFont="1" applyFill="1" applyBorder="1" applyAlignment="1" applyProtection="1">
      <alignment horizontal="center"/>
    </xf>
    <xf numFmtId="0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4" borderId="13" xfId="0" applyNumberFormat="1" applyFont="1" applyFill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0" fontId="4" fillId="4" borderId="53" xfId="0" applyNumberFormat="1" applyFont="1" applyFill="1" applyBorder="1" applyAlignment="1" applyProtection="1">
      <alignment horizontal="center" vertical="center"/>
      <protection locked="0"/>
    </xf>
    <xf numFmtId="0" fontId="4" fillId="4" borderId="33" xfId="0" applyNumberFormat="1" applyFont="1" applyFill="1" applyBorder="1" applyAlignment="1" applyProtection="1">
      <alignment horizontal="center" vertical="center"/>
      <protection locked="0"/>
    </xf>
    <xf numFmtId="0" fontId="4" fillId="0" borderId="54" xfId="0" applyFont="1" applyBorder="1" applyAlignment="1" applyProtection="1">
      <alignment horizontal="center" vertical="center"/>
      <protection locked="0"/>
    </xf>
    <xf numFmtId="0" fontId="4" fillId="0" borderId="67" xfId="0" applyFont="1" applyBorder="1" applyAlignment="1" applyProtection="1">
      <alignment horizontal="center" vertical="center"/>
      <protection locked="0"/>
    </xf>
    <xf numFmtId="0" fontId="7" fillId="0" borderId="28" xfId="0" applyFont="1" applyFill="1" applyBorder="1" applyAlignment="1" applyProtection="1">
      <alignment horizontal="center" vertical="center"/>
    </xf>
    <xf numFmtId="49" fontId="4" fillId="4" borderId="70" xfId="0" applyNumberFormat="1" applyFont="1" applyFill="1" applyBorder="1" applyAlignment="1" applyProtection="1">
      <alignment horizontal="center" vertical="center"/>
      <protection locked="0"/>
    </xf>
    <xf numFmtId="49" fontId="4" fillId="4" borderId="99" xfId="0" applyNumberFormat="1" applyFont="1" applyFill="1" applyBorder="1" applyAlignment="1" applyProtection="1">
      <alignment horizontal="center" vertical="center"/>
      <protection locked="0"/>
    </xf>
    <xf numFmtId="0" fontId="7" fillId="0" borderId="30" xfId="0" applyFont="1" applyFill="1" applyBorder="1" applyAlignment="1" applyProtection="1">
      <alignment horizontal="center" vertical="center"/>
    </xf>
    <xf numFmtId="0" fontId="3" fillId="3" borderId="19" xfId="0" applyFont="1" applyFill="1" applyBorder="1" applyAlignment="1" applyProtection="1">
      <alignment horizontal="center" vertical="center"/>
    </xf>
    <xf numFmtId="0" fontId="3" fillId="3" borderId="47" xfId="0" applyFont="1" applyFill="1" applyBorder="1" applyAlignment="1" applyProtection="1">
      <alignment horizontal="center" vertical="center"/>
    </xf>
    <xf numFmtId="0" fontId="1" fillId="3" borderId="76" xfId="0" applyFont="1" applyFill="1" applyBorder="1" applyAlignment="1" applyProtection="1">
      <alignment horizontal="center" vertical="center"/>
    </xf>
    <xf numFmtId="0" fontId="1" fillId="3" borderId="77" xfId="0" applyFont="1" applyFill="1" applyBorder="1" applyAlignment="1" applyProtection="1">
      <alignment horizontal="center" vertical="center"/>
    </xf>
    <xf numFmtId="0" fontId="3" fillId="3" borderId="23" xfId="0" applyFont="1" applyFill="1" applyBorder="1" applyAlignment="1" applyProtection="1">
      <alignment horizontal="center" vertical="center"/>
    </xf>
    <xf numFmtId="0" fontId="3" fillId="3" borderId="77" xfId="0" applyFont="1" applyFill="1" applyBorder="1" applyAlignment="1" applyProtection="1">
      <alignment horizontal="center" vertical="center"/>
    </xf>
    <xf numFmtId="0" fontId="1" fillId="3" borderId="85" xfId="0" applyFont="1" applyFill="1" applyBorder="1" applyAlignment="1" applyProtection="1">
      <alignment horizontal="center" vertical="center"/>
    </xf>
    <xf numFmtId="0" fontId="1" fillId="3" borderId="46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82" xfId="0" applyFont="1" applyFill="1" applyBorder="1" applyAlignment="1" applyProtection="1">
      <alignment horizontal="center" vertical="center"/>
    </xf>
    <xf numFmtId="49" fontId="1" fillId="6" borderId="6" xfId="0" applyNumberFormat="1" applyFont="1" applyFill="1" applyBorder="1" applyAlignment="1" applyProtection="1">
      <alignment horizontal="center"/>
    </xf>
    <xf numFmtId="49" fontId="1" fillId="6" borderId="4" xfId="0" applyNumberFormat="1" applyFont="1" applyFill="1" applyBorder="1" applyAlignment="1" applyProtection="1">
      <alignment horizontal="center"/>
    </xf>
    <xf numFmtId="0" fontId="4" fillId="6" borderId="4" xfId="0" applyNumberFormat="1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0" fontId="4" fillId="4" borderId="24" xfId="0" applyNumberFormat="1" applyFont="1" applyFill="1" applyBorder="1" applyAlignment="1" applyProtection="1">
      <alignment horizontal="center" vertical="center"/>
      <protection locked="0"/>
    </xf>
    <xf numFmtId="0" fontId="4" fillId="4" borderId="15" xfId="0" applyNumberFormat="1" applyFont="1" applyFill="1" applyBorder="1" applyAlignment="1" applyProtection="1">
      <alignment horizontal="center" vertical="center"/>
      <protection locked="0"/>
    </xf>
    <xf numFmtId="0" fontId="4" fillId="4" borderId="68" xfId="0" applyNumberFormat="1" applyFont="1" applyFill="1" applyBorder="1" applyAlignment="1" applyProtection="1">
      <alignment horizontal="center" vertical="center"/>
      <protection locked="0"/>
    </xf>
    <xf numFmtId="0" fontId="4" fillId="4" borderId="26" xfId="0" applyNumberFormat="1" applyFont="1" applyFill="1" applyBorder="1" applyAlignment="1" applyProtection="1">
      <alignment horizontal="center" vertical="center"/>
      <protection locked="0"/>
    </xf>
    <xf numFmtId="0" fontId="10" fillId="0" borderId="60" xfId="0" applyNumberFormat="1" applyFont="1" applyFill="1" applyBorder="1" applyAlignment="1" applyProtection="1">
      <alignment horizontal="center" vertical="center"/>
    </xf>
    <xf numFmtId="0" fontId="4" fillId="2" borderId="7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49" fontId="4" fillId="2" borderId="71" xfId="0" applyNumberFormat="1" applyFont="1" applyFill="1" applyBorder="1" applyAlignment="1" applyProtection="1">
      <alignment horizontal="center" vertical="center"/>
    </xf>
    <xf numFmtId="49" fontId="4" fillId="2" borderId="13" xfId="0" applyNumberFormat="1" applyFont="1" applyFill="1" applyBorder="1" applyAlignment="1" applyProtection="1">
      <alignment horizontal="center" vertical="center"/>
    </xf>
    <xf numFmtId="0" fontId="4" fillId="0" borderId="7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49" fontId="4" fillId="4" borderId="75" xfId="0" applyNumberFormat="1" applyFont="1" applyFill="1" applyBorder="1" applyAlignment="1" applyProtection="1">
      <alignment horizontal="center" vertical="center"/>
      <protection locked="0"/>
    </xf>
    <xf numFmtId="49" fontId="4" fillId="4" borderId="15" xfId="0" applyNumberFormat="1" applyFont="1" applyFill="1" applyBorder="1" applyAlignment="1" applyProtection="1">
      <alignment horizontal="center" vertical="center"/>
      <protection locked="0"/>
    </xf>
    <xf numFmtId="0" fontId="1" fillId="6" borderId="58" xfId="0" applyFont="1" applyFill="1" applyBorder="1" applyAlignment="1" applyProtection="1">
      <alignment horizontal="center"/>
    </xf>
    <xf numFmtId="0" fontId="1" fillId="6" borderId="4" xfId="0" applyFont="1" applyFill="1" applyBorder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</xf>
    <xf numFmtId="49" fontId="4" fillId="2" borderId="108" xfId="0" applyNumberFormat="1" applyFont="1" applyFill="1" applyBorder="1" applyAlignment="1" applyProtection="1">
      <alignment horizontal="center" vertical="center"/>
    </xf>
    <xf numFmtId="49" fontId="4" fillId="2" borderId="63" xfId="0" applyNumberFormat="1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49" fontId="4" fillId="4" borderId="101" xfId="0" applyNumberFormat="1" applyFont="1" applyFill="1" applyBorder="1" applyAlignment="1" applyProtection="1">
      <alignment horizontal="center" vertical="center"/>
      <protection locked="0"/>
    </xf>
    <xf numFmtId="49" fontId="4" fillId="4" borderId="64" xfId="0" applyNumberFormat="1" applyFont="1" applyFill="1" applyBorder="1" applyAlignment="1" applyProtection="1">
      <alignment horizontal="center" vertical="center"/>
      <protection locked="0"/>
    </xf>
    <xf numFmtId="0" fontId="4" fillId="2" borderId="62" xfId="0" applyNumberFormat="1" applyFont="1" applyFill="1" applyBorder="1" applyAlignment="1" applyProtection="1">
      <alignment horizontal="center" vertical="center"/>
    </xf>
    <xf numFmtId="0" fontId="4" fillId="2" borderId="63" xfId="0" applyNumberFormat="1" applyFont="1" applyFill="1" applyBorder="1" applyAlignment="1" applyProtection="1">
      <alignment horizontal="center" vertical="center"/>
    </xf>
    <xf numFmtId="0" fontId="4" fillId="4" borderId="56" xfId="0" applyNumberFormat="1" applyFont="1" applyFill="1" applyBorder="1" applyAlignment="1" applyProtection="1">
      <alignment horizontal="center" vertical="center"/>
      <protection locked="0"/>
    </xf>
    <xf numFmtId="0" fontId="4" fillId="4" borderId="64" xfId="0" applyNumberFormat="1" applyFont="1" applyFill="1" applyBorder="1" applyAlignment="1" applyProtection="1">
      <alignment horizontal="center" vertical="center"/>
      <protection locked="0"/>
    </xf>
    <xf numFmtId="0" fontId="15" fillId="6" borderId="58" xfId="0" applyFont="1" applyFill="1" applyBorder="1" applyAlignment="1" applyProtection="1">
      <alignment horizontal="center"/>
    </xf>
    <xf numFmtId="0" fontId="15" fillId="6" borderId="4" xfId="0" applyFont="1" applyFill="1" applyBorder="1" applyAlignment="1" applyProtection="1">
      <alignment horizontal="center"/>
    </xf>
    <xf numFmtId="0" fontId="1" fillId="6" borderId="5" xfId="0" applyFont="1" applyFill="1" applyBorder="1" applyAlignment="1" applyProtection="1">
      <alignment horizontal="center"/>
    </xf>
    <xf numFmtId="0" fontId="5" fillId="3" borderId="58" xfId="0" applyFont="1" applyFill="1" applyBorder="1" applyAlignment="1" applyProtection="1">
      <alignment horizontal="center" vertical="center"/>
    </xf>
    <xf numFmtId="0" fontId="5" fillId="3" borderId="55" xfId="0" applyFont="1" applyFill="1" applyBorder="1" applyAlignment="1" applyProtection="1">
      <alignment horizontal="center" vertical="center"/>
    </xf>
    <xf numFmtId="0" fontId="5" fillId="3" borderId="40" xfId="0" applyFont="1" applyFill="1" applyBorder="1" applyAlignment="1" applyProtection="1">
      <alignment horizontal="center" vertical="center"/>
    </xf>
    <xf numFmtId="0" fontId="5" fillId="3" borderId="59" xfId="0" applyFont="1" applyFill="1" applyBorder="1" applyAlignment="1" applyProtection="1">
      <alignment horizontal="center" vertical="center"/>
    </xf>
    <xf numFmtId="0" fontId="4" fillId="4" borderId="28" xfId="0" applyNumberFormat="1" applyFont="1" applyFill="1" applyBorder="1" applyAlignment="1" applyProtection="1">
      <alignment horizontal="center" vertical="center"/>
      <protection locked="0"/>
    </xf>
    <xf numFmtId="0" fontId="4" fillId="4" borderId="30" xfId="0" applyNumberFormat="1" applyFont="1" applyFill="1" applyBorder="1" applyAlignment="1" applyProtection="1">
      <alignment horizontal="center" vertical="center"/>
      <protection locked="0"/>
    </xf>
    <xf numFmtId="49" fontId="4" fillId="4" borderId="36" xfId="0" applyNumberFormat="1" applyFont="1" applyFill="1" applyBorder="1" applyAlignment="1" applyProtection="1">
      <alignment horizontal="center" vertical="center"/>
      <protection locked="0"/>
    </xf>
    <xf numFmtId="49" fontId="4" fillId="4" borderId="30" xfId="0" applyNumberFormat="1" applyFont="1" applyFill="1" applyBorder="1" applyAlignment="1" applyProtection="1">
      <alignment horizontal="center" vertical="center"/>
      <protection locked="0"/>
    </xf>
    <xf numFmtId="0" fontId="3" fillId="4" borderId="22" xfId="0" applyFont="1" applyFill="1" applyBorder="1" applyAlignment="1" applyProtection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</xf>
    <xf numFmtId="0" fontId="3" fillId="4" borderId="20" xfId="0" applyFont="1" applyFill="1" applyBorder="1" applyAlignment="1" applyProtection="1">
      <alignment horizontal="center" vertical="center"/>
    </xf>
    <xf numFmtId="0" fontId="10" fillId="0" borderId="36" xfId="0" applyNumberFormat="1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0" fontId="3" fillId="3" borderId="76" xfId="0" applyFont="1" applyFill="1" applyBorder="1" applyAlignment="1" applyProtection="1">
      <alignment horizontal="right" vertical="center"/>
    </xf>
    <xf numFmtId="0" fontId="3" fillId="3" borderId="87" xfId="0" applyFont="1" applyFill="1" applyBorder="1" applyAlignment="1" applyProtection="1">
      <alignment horizontal="right" vertical="center"/>
    </xf>
    <xf numFmtId="0" fontId="3" fillId="3" borderId="82" xfId="0" applyFont="1" applyFill="1" applyBorder="1" applyAlignment="1" applyProtection="1">
      <alignment horizontal="right" vertical="center"/>
    </xf>
    <xf numFmtId="0" fontId="3" fillId="3" borderId="51" xfId="0" applyFont="1" applyFill="1" applyBorder="1" applyAlignment="1" applyProtection="1">
      <alignment horizontal="right" vertical="center"/>
    </xf>
    <xf numFmtId="0" fontId="3" fillId="3" borderId="18" xfId="0" applyFont="1" applyFill="1" applyBorder="1" applyAlignment="1" applyProtection="1">
      <alignment horizontal="right" vertical="center"/>
    </xf>
    <xf numFmtId="0" fontId="3" fillId="3" borderId="16" xfId="0" applyFont="1" applyFill="1" applyBorder="1" applyAlignment="1" applyProtection="1">
      <alignment horizontal="right" vertical="center"/>
    </xf>
    <xf numFmtId="0" fontId="3" fillId="3" borderId="38" xfId="0" applyFont="1" applyFill="1" applyBorder="1" applyAlignment="1" applyProtection="1">
      <alignment horizontal="right" vertical="center"/>
    </xf>
    <xf numFmtId="0" fontId="3" fillId="3" borderId="27" xfId="0" applyFont="1" applyFill="1" applyBorder="1" applyAlignment="1" applyProtection="1">
      <alignment horizontal="right" vertical="center"/>
    </xf>
    <xf numFmtId="0" fontId="3" fillId="3" borderId="26" xfId="0" applyFont="1" applyFill="1" applyBorder="1" applyAlignment="1" applyProtection="1">
      <alignment horizontal="right" vertical="center"/>
    </xf>
    <xf numFmtId="0" fontId="10" fillId="0" borderId="49" xfId="0" applyFont="1" applyFill="1" applyBorder="1" applyAlignment="1" applyProtection="1">
      <alignment horizontal="center" vertical="center"/>
    </xf>
    <xf numFmtId="0" fontId="10" fillId="0" borderId="50" xfId="0" applyFont="1" applyFill="1" applyBorder="1" applyAlignment="1" applyProtection="1">
      <alignment horizontal="center" vertical="center"/>
    </xf>
    <xf numFmtId="0" fontId="10" fillId="0" borderId="7" xfId="0" applyFont="1" applyFill="1" applyBorder="1" applyAlignment="1" applyProtection="1">
      <alignment horizontal="center" vertical="center"/>
    </xf>
    <xf numFmtId="0" fontId="10" fillId="0" borderId="37" xfId="0" applyFont="1" applyFill="1" applyBorder="1" applyAlignment="1" applyProtection="1">
      <alignment horizontal="center" vertical="center"/>
    </xf>
    <xf numFmtId="0" fontId="10" fillId="0" borderId="25" xfId="0" applyFont="1" applyFill="1" applyBorder="1" applyAlignment="1" applyProtection="1">
      <alignment horizontal="center" vertical="center"/>
    </xf>
    <xf numFmtId="0" fontId="10" fillId="0" borderId="39" xfId="0" applyFont="1" applyFill="1" applyBorder="1" applyAlignment="1" applyProtection="1">
      <alignment horizontal="center" vertical="center"/>
    </xf>
    <xf numFmtId="0" fontId="5" fillId="3" borderId="57" xfId="0" applyFont="1" applyFill="1" applyBorder="1" applyAlignment="1" applyProtection="1">
      <alignment horizontal="center" vertical="center"/>
    </xf>
    <xf numFmtId="0" fontId="5" fillId="3" borderId="23" xfId="0" applyFont="1" applyFill="1" applyBorder="1" applyAlignment="1" applyProtection="1">
      <alignment horizontal="center" vertical="center"/>
    </xf>
    <xf numFmtId="14" fontId="11" fillId="2" borderId="21" xfId="0" applyNumberFormat="1" applyFont="1" applyFill="1" applyBorder="1" applyAlignment="1" applyProtection="1">
      <alignment horizontal="right" vertical="center"/>
    </xf>
    <xf numFmtId="0" fontId="3" fillId="3" borderId="45" xfId="0" applyFont="1" applyFill="1" applyBorder="1" applyAlignment="1" applyProtection="1">
      <alignment horizontal="center" vertical="center"/>
    </xf>
    <xf numFmtId="0" fontId="3" fillId="3" borderId="46" xfId="0" applyFont="1" applyFill="1" applyBorder="1" applyAlignment="1" applyProtection="1">
      <alignment horizontal="center" vertical="center"/>
    </xf>
    <xf numFmtId="0" fontId="7" fillId="0" borderId="27" xfId="0" applyFont="1" applyFill="1" applyBorder="1" applyAlignment="1" applyProtection="1">
      <alignment horizontal="center" vertical="center"/>
    </xf>
    <xf numFmtId="0" fontId="7" fillId="0" borderId="39" xfId="0" applyFont="1" applyFill="1" applyBorder="1" applyAlignment="1" applyProtection="1">
      <alignment horizontal="center" vertical="center"/>
    </xf>
    <xf numFmtId="0" fontId="5" fillId="3" borderId="76" xfId="0" applyFont="1" applyFill="1" applyBorder="1" applyAlignment="1" applyProtection="1">
      <alignment horizontal="center" vertical="center"/>
    </xf>
    <xf numFmtId="0" fontId="5" fillId="3" borderId="82" xfId="0" applyFont="1" applyFill="1" applyBorder="1" applyAlignment="1" applyProtection="1">
      <alignment horizontal="center" vertical="center"/>
    </xf>
    <xf numFmtId="0" fontId="5" fillId="3" borderId="87" xfId="0" applyFont="1" applyFill="1" applyBorder="1" applyAlignment="1" applyProtection="1">
      <alignment horizontal="center" vertical="center"/>
    </xf>
    <xf numFmtId="0" fontId="5" fillId="3" borderId="77" xfId="0" applyFont="1" applyFill="1" applyBorder="1" applyAlignment="1" applyProtection="1">
      <alignment horizontal="center" vertical="center"/>
    </xf>
    <xf numFmtId="49" fontId="1" fillId="6" borderId="100" xfId="0" applyNumberFormat="1" applyFont="1" applyFill="1" applyBorder="1" applyAlignment="1" applyProtection="1">
      <alignment horizontal="center"/>
    </xf>
    <xf numFmtId="0" fontId="1" fillId="6" borderId="5" xfId="0" applyNumberFormat="1" applyFont="1" applyFill="1" applyBorder="1" applyAlignment="1" applyProtection="1">
      <alignment horizontal="center"/>
    </xf>
    <xf numFmtId="0" fontId="1" fillId="6" borderId="6" xfId="0" applyNumberFormat="1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center" vertical="center"/>
    </xf>
    <xf numFmtId="164" fontId="8" fillId="2" borderId="73" xfId="0" applyNumberFormat="1" applyFont="1" applyFill="1" applyBorder="1" applyAlignment="1" applyProtection="1">
      <alignment horizontal="center" vertical="center"/>
    </xf>
    <xf numFmtId="164" fontId="8" fillId="2" borderId="31" xfId="0" applyNumberFormat="1" applyFont="1" applyFill="1" applyBorder="1" applyAlignment="1" applyProtection="1">
      <alignment horizontal="center" vertical="center"/>
    </xf>
    <xf numFmtId="0" fontId="5" fillId="3" borderId="86" xfId="0" applyFont="1" applyFill="1" applyBorder="1" applyAlignment="1" applyProtection="1">
      <alignment horizontal="center" vertical="center"/>
    </xf>
    <xf numFmtId="0" fontId="5" fillId="3" borderId="74" xfId="0" applyFont="1" applyFill="1" applyBorder="1" applyAlignment="1" applyProtection="1">
      <alignment horizontal="center" vertical="center"/>
    </xf>
    <xf numFmtId="0" fontId="9" fillId="3" borderId="57" xfId="0" applyFont="1" applyFill="1" applyBorder="1" applyAlignment="1" applyProtection="1">
      <alignment horizontal="center" vertical="center"/>
    </xf>
    <xf numFmtId="0" fontId="9" fillId="3" borderId="23" xfId="0" applyFont="1" applyFill="1" applyBorder="1" applyAlignment="1" applyProtection="1">
      <alignment horizontal="center" vertical="center"/>
    </xf>
    <xf numFmtId="0" fontId="1" fillId="6" borderId="58" xfId="0" applyNumberFormat="1" applyFont="1" applyFill="1" applyBorder="1" applyAlignment="1" applyProtection="1">
      <alignment horizontal="center"/>
    </xf>
    <xf numFmtId="0" fontId="1" fillId="6" borderId="4" xfId="0" applyNumberFormat="1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1" fillId="3" borderId="55" xfId="0" applyFont="1" applyFill="1" applyBorder="1" applyAlignment="1" applyProtection="1">
      <alignment horizontal="center"/>
    </xf>
    <xf numFmtId="0" fontId="4" fillId="0" borderId="75" xfId="0" applyFont="1" applyBorder="1" applyAlignment="1" applyProtection="1">
      <alignment horizontal="center" vertical="center"/>
    </xf>
    <xf numFmtId="0" fontId="4" fillId="0" borderId="91" xfId="0" applyFont="1" applyBorder="1" applyAlignment="1" applyProtection="1">
      <alignment horizontal="center" vertical="center"/>
    </xf>
    <xf numFmtId="0" fontId="4" fillId="4" borderId="14" xfId="0" applyNumberFormat="1" applyFont="1" applyFill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/>
    </xf>
    <xf numFmtId="0" fontId="1" fillId="3" borderId="6" xfId="0" applyFont="1" applyFill="1" applyBorder="1" applyAlignment="1" applyProtection="1">
      <alignment horizontal="center"/>
    </xf>
    <xf numFmtId="0" fontId="4" fillId="0" borderId="103" xfId="0" applyFont="1" applyBorder="1" applyAlignment="1" applyProtection="1">
      <alignment horizontal="center" vertical="center"/>
      <protection locked="0"/>
    </xf>
    <xf numFmtId="0" fontId="4" fillId="0" borderId="83" xfId="0" applyFont="1" applyFill="1" applyBorder="1" applyAlignment="1" applyProtection="1">
      <alignment horizontal="center" vertical="center"/>
      <protection locked="0"/>
    </xf>
    <xf numFmtId="0" fontId="4" fillId="0" borderId="84" xfId="0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69" xfId="0" applyFont="1" applyBorder="1" applyAlignment="1" applyProtection="1">
      <alignment horizontal="center" vertical="center"/>
      <protection locked="0"/>
    </xf>
    <xf numFmtId="49" fontId="1" fillId="4" borderId="92" xfId="0" applyNumberFormat="1" applyFont="1" applyFill="1" applyBorder="1" applyAlignment="1" applyProtection="1">
      <alignment horizontal="center"/>
    </xf>
    <xf numFmtId="0" fontId="4" fillId="0" borderId="56" xfId="0" applyFont="1" applyFill="1" applyBorder="1" applyAlignment="1" applyProtection="1">
      <alignment horizontal="center" vertical="center"/>
      <protection locked="0"/>
    </xf>
    <xf numFmtId="0" fontId="4" fillId="0" borderId="105" xfId="0" applyFont="1" applyFill="1" applyBorder="1" applyAlignment="1" applyProtection="1">
      <alignment horizontal="center" vertical="center"/>
      <protection locked="0"/>
    </xf>
    <xf numFmtId="0" fontId="4" fillId="0" borderId="96" xfId="0" applyFont="1" applyFill="1" applyBorder="1" applyAlignment="1" applyProtection="1">
      <alignment horizontal="center" vertical="center"/>
      <protection locked="0"/>
    </xf>
    <xf numFmtId="0" fontId="4" fillId="0" borderId="106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</xf>
    <xf numFmtId="0" fontId="1" fillId="3" borderId="41" xfId="0" applyFont="1" applyFill="1" applyBorder="1" applyAlignment="1" applyProtection="1">
      <alignment horizontal="center" vertical="center"/>
    </xf>
    <xf numFmtId="49" fontId="1" fillId="4" borderId="98" xfId="0" applyNumberFormat="1" applyFont="1" applyFill="1" applyBorder="1" applyAlignment="1" applyProtection="1">
      <alignment horizontal="center"/>
    </xf>
    <xf numFmtId="49" fontId="1" fillId="4" borderId="83" xfId="0" applyNumberFormat="1" applyFont="1" applyFill="1" applyBorder="1" applyAlignment="1" applyProtection="1">
      <alignment horizontal="center"/>
    </xf>
    <xf numFmtId="0" fontId="5" fillId="3" borderId="42" xfId="0" applyFont="1" applyFill="1" applyBorder="1" applyAlignment="1" applyProtection="1">
      <alignment horizontal="center" vertical="center"/>
    </xf>
    <xf numFmtId="0" fontId="1" fillId="3" borderId="82" xfId="0" applyFont="1" applyFill="1" applyBorder="1" applyAlignment="1" applyProtection="1">
      <alignment horizontal="center" vertical="center"/>
    </xf>
    <xf numFmtId="0" fontId="1" fillId="3" borderId="23" xfId="0" applyFont="1" applyFill="1" applyBorder="1" applyAlignment="1" applyProtection="1">
      <alignment horizontal="center" vertical="center"/>
    </xf>
    <xf numFmtId="0" fontId="4" fillId="0" borderId="72" xfId="0" applyFont="1" applyBorder="1" applyAlignment="1" applyProtection="1">
      <alignment horizontal="center" vertical="center"/>
    </xf>
    <xf numFmtId="0" fontId="4" fillId="0" borderId="48" xfId="0" applyFont="1" applyBorder="1" applyAlignment="1" applyProtection="1">
      <alignment horizontal="center" vertical="center"/>
    </xf>
    <xf numFmtId="49" fontId="4" fillId="4" borderId="38" xfId="0" applyNumberFormat="1" applyFont="1" applyFill="1" applyBorder="1" applyAlignment="1" applyProtection="1">
      <alignment horizontal="center" vertical="center"/>
      <protection locked="0"/>
    </xf>
    <xf numFmtId="49" fontId="4" fillId="4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25" xfId="0" applyNumberFormat="1" applyFont="1" applyFill="1" applyBorder="1" applyAlignment="1" applyProtection="1">
      <alignment horizontal="center" vertical="center"/>
      <protection locked="0"/>
    </xf>
    <xf numFmtId="0" fontId="4" fillId="0" borderId="94" xfId="0" applyFont="1" applyFill="1" applyBorder="1" applyAlignment="1" applyProtection="1">
      <alignment horizontal="center" vertical="center"/>
      <protection locked="0"/>
    </xf>
    <xf numFmtId="0" fontId="4" fillId="0" borderId="107" xfId="0" applyFont="1" applyFill="1" applyBorder="1" applyAlignment="1" applyProtection="1">
      <alignment horizontal="center" vertical="center"/>
      <protection locked="0"/>
    </xf>
    <xf numFmtId="0" fontId="2" fillId="3" borderId="52" xfId="0" applyFont="1" applyFill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horizontal="center" vertical="center"/>
    </xf>
    <xf numFmtId="49" fontId="11" fillId="2" borderId="21" xfId="0" applyNumberFormat="1" applyFont="1" applyFill="1" applyBorder="1" applyAlignment="1" applyProtection="1">
      <alignment horizontal="left" vertical="center"/>
    </xf>
    <xf numFmtId="0" fontId="4" fillId="0" borderId="103" xfId="0" applyFont="1" applyFill="1" applyBorder="1" applyAlignment="1" applyProtection="1">
      <alignment horizontal="center" vertical="center"/>
      <protection locked="0"/>
    </xf>
    <xf numFmtId="165" fontId="4" fillId="4" borderId="83" xfId="0" applyNumberFormat="1" applyFont="1" applyFill="1" applyBorder="1" applyAlignment="1" applyProtection="1">
      <alignment horizontal="center" vertical="center"/>
      <protection locked="0"/>
    </xf>
    <xf numFmtId="49" fontId="1" fillId="4" borderId="102" xfId="0" applyNumberFormat="1" applyFont="1" applyFill="1" applyBorder="1" applyAlignment="1" applyProtection="1">
      <alignment horizontal="center"/>
    </xf>
    <xf numFmtId="49" fontId="1" fillId="4" borderId="103" xfId="0" applyNumberFormat="1" applyFont="1" applyFill="1" applyBorder="1" applyAlignment="1" applyProtection="1">
      <alignment horizontal="center"/>
    </xf>
    <xf numFmtId="165" fontId="4" fillId="4" borderId="103" xfId="0" applyNumberFormat="1" applyFont="1" applyFill="1" applyBorder="1" applyAlignment="1" applyProtection="1">
      <alignment horizontal="center" vertical="center"/>
      <protection locked="0"/>
    </xf>
    <xf numFmtId="49" fontId="1" fillId="4" borderId="93" xfId="0" applyNumberFormat="1" applyFont="1" applyFill="1" applyBorder="1" applyAlignment="1" applyProtection="1">
      <alignment horizontal="center"/>
    </xf>
    <xf numFmtId="165" fontId="4" fillId="4" borderId="24" xfId="0" applyNumberFormat="1" applyFont="1" applyFill="1" applyBorder="1" applyAlignment="1" applyProtection="1">
      <alignment horizontal="center" vertical="center"/>
      <protection locked="0"/>
    </xf>
    <xf numFmtId="165" fontId="4" fillId="4" borderId="15" xfId="0" applyNumberFormat="1" applyFont="1" applyFill="1" applyBorder="1" applyAlignment="1" applyProtection="1">
      <alignment horizontal="center" vertical="center"/>
      <protection locked="0"/>
    </xf>
    <xf numFmtId="49" fontId="1" fillId="6" borderId="58" xfId="0" applyNumberFormat="1" applyFont="1" applyFill="1" applyBorder="1" applyAlignment="1" applyProtection="1">
      <alignment horizontal="center"/>
    </xf>
    <xf numFmtId="0" fontId="6" fillId="3" borderId="113" xfId="0" applyFont="1" applyFill="1" applyBorder="1" applyAlignment="1" applyProtection="1">
      <alignment horizontal="center" vertical="center"/>
    </xf>
    <xf numFmtId="0" fontId="6" fillId="3" borderId="110" xfId="0" applyFont="1" applyFill="1" applyBorder="1" applyAlignment="1" applyProtection="1">
      <alignment horizontal="center" vertical="center"/>
    </xf>
    <xf numFmtId="49" fontId="4" fillId="4" borderId="98" xfId="0" applyNumberFormat="1" applyFont="1" applyFill="1" applyBorder="1" applyAlignment="1" applyProtection="1">
      <alignment horizontal="center" vertical="center"/>
      <protection locked="0"/>
    </xf>
    <xf numFmtId="49" fontId="4" fillId="4" borderId="83" xfId="0" applyNumberFormat="1" applyFont="1" applyFill="1" applyBorder="1" applyAlignment="1" applyProtection="1">
      <alignment horizontal="center" vertical="center"/>
      <protection locked="0"/>
    </xf>
    <xf numFmtId="49" fontId="4" fillId="4" borderId="97" xfId="0" applyNumberFormat="1" applyFont="1" applyFill="1" applyBorder="1" applyAlignment="1" applyProtection="1">
      <alignment horizontal="center" vertical="center"/>
      <protection locked="0"/>
    </xf>
    <xf numFmtId="49" fontId="4" fillId="4" borderId="78" xfId="0" applyNumberFormat="1" applyFont="1" applyFill="1" applyBorder="1" applyAlignment="1" applyProtection="1">
      <alignment horizontal="center" vertical="center"/>
      <protection locked="0"/>
    </xf>
    <xf numFmtId="49" fontId="4" fillId="4" borderId="95" xfId="0" applyNumberFormat="1" applyFont="1" applyFill="1" applyBorder="1" applyAlignment="1" applyProtection="1">
      <alignment horizontal="center" vertical="center"/>
      <protection locked="0"/>
    </xf>
    <xf numFmtId="49" fontId="4" fillId="4" borderId="79" xfId="0" applyNumberFormat="1" applyFont="1" applyFill="1" applyBorder="1" applyAlignment="1" applyProtection="1">
      <alignment horizontal="center" vertical="center"/>
      <protection locked="0"/>
    </xf>
    <xf numFmtId="0" fontId="5" fillId="3" borderId="110" xfId="0" applyFont="1" applyFill="1" applyBorder="1" applyAlignment="1" applyProtection="1">
      <alignment horizontal="center" vertical="center"/>
    </xf>
    <xf numFmtId="0" fontId="5" fillId="3" borderId="111" xfId="0" applyFont="1" applyFill="1" applyBorder="1" applyAlignment="1" applyProtection="1">
      <alignment horizontal="center" vertical="center"/>
    </xf>
    <xf numFmtId="0" fontId="4" fillId="0" borderId="83" xfId="0" applyFont="1" applyBorder="1" applyAlignment="1" applyProtection="1">
      <alignment horizontal="center" vertical="center"/>
      <protection locked="0"/>
    </xf>
    <xf numFmtId="0" fontId="4" fillId="0" borderId="84" xfId="0" applyFont="1" applyBorder="1" applyAlignment="1" applyProtection="1">
      <alignment horizontal="center" vertical="center"/>
      <protection locked="0"/>
    </xf>
    <xf numFmtId="0" fontId="14" fillId="4" borderId="5" xfId="0" applyFont="1" applyFill="1" applyBorder="1" applyAlignment="1" applyProtection="1">
      <alignment horizontal="center" vertical="center"/>
    </xf>
    <xf numFmtId="0" fontId="14" fillId="4" borderId="17" xfId="0" applyFont="1" applyFill="1" applyBorder="1" applyAlignment="1" applyProtection="1">
      <alignment horizontal="center" vertical="center"/>
    </xf>
    <xf numFmtId="0" fontId="14" fillId="4" borderId="6" xfId="0" applyFont="1" applyFill="1" applyBorder="1" applyAlignment="1" applyProtection="1">
      <alignment horizontal="center" vertical="center"/>
    </xf>
    <xf numFmtId="0" fontId="1" fillId="3" borderId="57" xfId="0" applyFont="1" applyFill="1" applyBorder="1" applyAlignment="1" applyProtection="1">
      <alignment horizontal="center" vertical="center"/>
    </xf>
    <xf numFmtId="0" fontId="1" fillId="3" borderId="86" xfId="0" applyFont="1" applyFill="1" applyBorder="1" applyAlignment="1" applyProtection="1">
      <alignment horizontal="center" vertical="center"/>
    </xf>
    <xf numFmtId="0" fontId="1" fillId="3" borderId="74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0" fontId="1" fillId="3" borderId="16" xfId="0" applyFont="1" applyFill="1" applyBorder="1" applyAlignment="1" applyProtection="1">
      <alignment horizontal="center" vertical="center"/>
    </xf>
    <xf numFmtId="49" fontId="16" fillId="2" borderId="118" xfId="0" applyNumberFormat="1" applyFont="1" applyFill="1" applyBorder="1" applyAlignment="1" applyProtection="1">
      <alignment vertical="center"/>
    </xf>
    <xf numFmtId="49" fontId="4" fillId="4" borderId="119" xfId="0" applyNumberFormat="1" applyFont="1" applyFill="1" applyBorder="1" applyAlignment="1" applyProtection="1">
      <alignment horizontal="center" vertical="center"/>
      <protection locked="0"/>
    </xf>
    <xf numFmtId="49" fontId="4" fillId="4" borderId="120" xfId="0" applyNumberFormat="1" applyFont="1" applyFill="1" applyBorder="1" applyAlignment="1" applyProtection="1">
      <alignment horizontal="center" vertical="center"/>
      <protection locked="0"/>
    </xf>
    <xf numFmtId="0" fontId="4" fillId="4" borderId="22" xfId="0" applyNumberFormat="1" applyFont="1" applyFill="1" applyBorder="1" applyAlignment="1" applyProtection="1">
      <alignment horizontal="center" vertical="center"/>
      <protection locked="0"/>
    </xf>
    <xf numFmtId="0" fontId="4" fillId="4" borderId="20" xfId="0" applyNumberFormat="1" applyFont="1" applyFill="1" applyBorder="1" applyAlignment="1" applyProtection="1">
      <alignment horizontal="center" vertical="center"/>
      <protection locked="0"/>
    </xf>
    <xf numFmtId="0" fontId="4" fillId="4" borderId="123" xfId="0" applyNumberFormat="1" applyFont="1" applyFill="1" applyBorder="1" applyAlignment="1" applyProtection="1">
      <alignment horizontal="center" vertical="center"/>
      <protection locked="0"/>
    </xf>
    <xf numFmtId="0" fontId="4" fillId="4" borderId="120" xfId="0" applyNumberFormat="1" applyFont="1" applyFill="1" applyBorder="1" applyAlignment="1" applyProtection="1">
      <alignment horizontal="center" vertical="center"/>
      <protection locked="0"/>
    </xf>
    <xf numFmtId="0" fontId="4" fillId="4" borderId="121" xfId="0" applyNumberFormat="1" applyFont="1" applyFill="1" applyBorder="1" applyAlignment="1" applyProtection="1">
      <alignment horizontal="center" vertical="center"/>
      <protection locked="0"/>
    </xf>
    <xf numFmtId="49" fontId="4" fillId="2" borderId="100" xfId="0" applyNumberFormat="1" applyFont="1" applyFill="1" applyBorder="1" applyAlignment="1" applyProtection="1">
      <alignment horizontal="center" vertical="center"/>
    </xf>
    <xf numFmtId="49" fontId="4" fillId="2" borderId="6" xfId="0" applyNumberFormat="1" applyFont="1" applyFill="1" applyBorder="1" applyAlignment="1" applyProtection="1">
      <alignment horizontal="center" vertical="center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49" fontId="4" fillId="2" borderId="51" xfId="0" applyNumberFormat="1" applyFont="1" applyFill="1" applyBorder="1" applyAlignment="1" applyProtection="1">
      <alignment horizontal="center" vertical="center"/>
    </xf>
    <xf numFmtId="49" fontId="4" fillId="2" borderId="16" xfId="0" applyNumberFormat="1" applyFont="1" applyFill="1" applyBorder="1" applyAlignment="1" applyProtection="1">
      <alignment horizontal="center" vertical="center"/>
    </xf>
    <xf numFmtId="0" fontId="4" fillId="2" borderId="109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2" borderId="7" xfId="0" applyNumberFormat="1" applyFont="1" applyFill="1" applyBorder="1" applyAlignment="1" applyProtection="1">
      <alignment horizontal="center" vertical="center"/>
    </xf>
    <xf numFmtId="49" fontId="4" fillId="4" borderId="129" xfId="0" applyNumberFormat="1" applyFont="1" applyFill="1" applyBorder="1" applyAlignment="1" applyProtection="1">
      <alignment horizontal="center" vertical="center"/>
      <protection locked="0"/>
    </xf>
    <xf numFmtId="49" fontId="4" fillId="4" borderId="73" xfId="0" applyNumberFormat="1" applyFont="1" applyFill="1" applyBorder="1" applyAlignment="1" applyProtection="1">
      <alignment horizontal="center" vertical="center"/>
      <protection locked="0"/>
    </xf>
    <xf numFmtId="0" fontId="4" fillId="4" borderId="31" xfId="0" applyNumberFormat="1" applyFont="1" applyFill="1" applyBorder="1" applyAlignment="1" applyProtection="1">
      <alignment horizontal="center" vertical="center"/>
      <protection locked="0"/>
    </xf>
    <xf numFmtId="0" fontId="4" fillId="4" borderId="73" xfId="0" applyNumberFormat="1" applyFont="1" applyFill="1" applyBorder="1" applyAlignment="1" applyProtection="1">
      <alignment horizontal="center" vertical="center"/>
      <protection locked="0"/>
    </xf>
    <xf numFmtId="49" fontId="4" fillId="4" borderId="130" xfId="0" applyNumberFormat="1" applyFont="1" applyFill="1" applyBorder="1" applyAlignment="1" applyProtection="1">
      <alignment horizontal="center" vertical="center"/>
      <protection locked="0"/>
    </xf>
    <xf numFmtId="49" fontId="4" fillId="4" borderId="131" xfId="0" applyNumberFormat="1" applyFont="1" applyFill="1" applyBorder="1" applyAlignment="1" applyProtection="1">
      <alignment horizontal="center" vertical="center"/>
      <protection locked="0"/>
    </xf>
    <xf numFmtId="0" fontId="4" fillId="4" borderId="132" xfId="0" applyNumberFormat="1" applyFont="1" applyFill="1" applyBorder="1" applyAlignment="1" applyProtection="1">
      <alignment horizontal="center" vertical="center"/>
      <protection locked="0"/>
    </xf>
    <xf numFmtId="0" fontId="4" fillId="4" borderId="131" xfId="0" applyNumberFormat="1" applyFont="1" applyFill="1" applyBorder="1" applyAlignment="1" applyProtection="1">
      <alignment horizontal="center" vertical="center"/>
      <protection locked="0"/>
    </xf>
    <xf numFmtId="0" fontId="4" fillId="4" borderId="124" xfId="0" applyNumberFormat="1" applyFont="1" applyFill="1" applyBorder="1" applyAlignment="1" applyProtection="1">
      <alignment horizontal="center" vertical="center"/>
      <protection locked="0"/>
    </xf>
    <xf numFmtId="0" fontId="4" fillId="0" borderId="127" xfId="0" applyFont="1" applyBorder="1" applyAlignment="1" applyProtection="1">
      <alignment horizontal="center" vertical="center"/>
    </xf>
    <xf numFmtId="0" fontId="4" fillId="0" borderId="128" xfId="0" applyFont="1" applyBorder="1" applyAlignment="1" applyProtection="1">
      <alignment horizontal="center" vertical="center"/>
    </xf>
    <xf numFmtId="0" fontId="4" fillId="2" borderId="51" xfId="0" applyFont="1" applyFill="1" applyBorder="1" applyAlignment="1" applyProtection="1">
      <alignment horizontal="center" vertical="center"/>
    </xf>
    <xf numFmtId="0" fontId="4" fillId="2" borderId="37" xfId="0" applyFont="1" applyFill="1" applyBorder="1" applyAlignment="1" applyProtection="1">
      <alignment horizontal="center" vertical="center"/>
    </xf>
    <xf numFmtId="0" fontId="4" fillId="0" borderId="70" xfId="0" applyFont="1" applyBorder="1" applyAlignment="1" applyProtection="1">
      <alignment horizontal="center" vertical="center"/>
    </xf>
    <xf numFmtId="0" fontId="4" fillId="0" borderId="138" xfId="0" applyFont="1" applyBorder="1" applyAlignment="1" applyProtection="1">
      <alignment horizontal="center" vertical="center"/>
    </xf>
    <xf numFmtId="0" fontId="4" fillId="4" borderId="89" xfId="0" applyNumberFormat="1" applyFont="1" applyFill="1" applyBorder="1" applyAlignment="1" applyProtection="1">
      <alignment horizontal="center" vertical="center"/>
      <protection locked="0"/>
    </xf>
    <xf numFmtId="0" fontId="4" fillId="4" borderId="136" xfId="0" applyNumberFormat="1" applyFont="1" applyFill="1" applyBorder="1" applyAlignment="1" applyProtection="1">
      <alignment horizontal="center" vertical="center"/>
      <protection locked="0"/>
    </xf>
    <xf numFmtId="49" fontId="4" fillId="4" borderId="114" xfId="0" applyNumberFormat="1" applyFont="1" applyFill="1" applyBorder="1" applyAlignment="1" applyProtection="1">
      <alignment horizontal="center" vertical="center"/>
      <protection locked="0"/>
    </xf>
    <xf numFmtId="49" fontId="4" fillId="4" borderId="133" xfId="0" applyNumberFormat="1" applyFont="1" applyFill="1" applyBorder="1" applyAlignment="1" applyProtection="1">
      <alignment horizontal="center" vertical="center"/>
      <protection locked="0"/>
    </xf>
    <xf numFmtId="0" fontId="4" fillId="4" borderId="134" xfId="0" applyNumberFormat="1" applyFont="1" applyFill="1" applyBorder="1" applyAlignment="1" applyProtection="1">
      <alignment horizontal="center" vertical="center"/>
      <protection locked="0"/>
    </xf>
    <xf numFmtId="0" fontId="4" fillId="4" borderId="133" xfId="0" applyNumberFormat="1" applyFont="1" applyFill="1" applyBorder="1" applyAlignment="1" applyProtection="1">
      <alignment horizontal="center" vertical="center"/>
      <protection locked="0"/>
    </xf>
    <xf numFmtId="49" fontId="4" fillId="4" borderId="135" xfId="0" applyNumberFormat="1" applyFont="1" applyFill="1" applyBorder="1" applyAlignment="1" applyProtection="1">
      <alignment horizontal="center" vertical="center"/>
      <protection locked="0"/>
    </xf>
    <xf numFmtId="49" fontId="4" fillId="4" borderId="136" xfId="0" applyNumberFormat="1" applyFont="1" applyFill="1" applyBorder="1" applyAlignment="1" applyProtection="1">
      <alignment horizontal="center" vertical="center"/>
      <protection locked="0"/>
    </xf>
    <xf numFmtId="0" fontId="4" fillId="4" borderId="137" xfId="0" applyNumberFormat="1" applyFont="1" applyFill="1" applyBorder="1" applyAlignment="1" applyProtection="1">
      <alignment horizontal="center" vertical="center"/>
      <protection locked="0"/>
    </xf>
    <xf numFmtId="49" fontId="11" fillId="2" borderId="118" xfId="0" applyNumberFormat="1" applyFont="1" applyFill="1" applyBorder="1" applyAlignment="1" applyProtection="1">
      <alignment horizontal="left" vertical="center"/>
    </xf>
  </cellXfs>
  <cellStyles count="1">
    <cellStyle name="Normal" xfId="0" builtinId="0"/>
  </cellStyles>
  <dxfs count="232"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B0F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37</xdr:row>
          <xdr:rowOff>381000</xdr:rowOff>
        </xdr:from>
        <xdr:to>
          <xdr:col>14</xdr:col>
          <xdr:colOff>533400</xdr:colOff>
          <xdr:row>39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36</xdr:row>
          <xdr:rowOff>0</xdr:rowOff>
        </xdr:from>
        <xdr:to>
          <xdr:col>12</xdr:col>
          <xdr:colOff>552450</xdr:colOff>
          <xdr:row>37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Flags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2nd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3rd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37</xdr:row>
          <xdr:rowOff>381000</xdr:rowOff>
        </xdr:from>
        <xdr:to>
          <xdr:col>14</xdr:col>
          <xdr:colOff>533400</xdr:colOff>
          <xdr:row>39</xdr:row>
          <xdr:rowOff>323850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36</xdr:row>
          <xdr:rowOff>0</xdr:rowOff>
        </xdr:from>
        <xdr:to>
          <xdr:col>12</xdr:col>
          <xdr:colOff>552450</xdr:colOff>
          <xdr:row>37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Flags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1st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3rd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37</xdr:row>
          <xdr:rowOff>381000</xdr:rowOff>
        </xdr:from>
        <xdr:to>
          <xdr:col>14</xdr:col>
          <xdr:colOff>533400</xdr:colOff>
          <xdr:row>39</xdr:row>
          <xdr:rowOff>323850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36</xdr:row>
          <xdr:rowOff>0</xdr:rowOff>
        </xdr:from>
        <xdr:to>
          <xdr:col>12</xdr:col>
          <xdr:colOff>552450</xdr:colOff>
          <xdr:row>37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Flags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1st Shift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1st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2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2nd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2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37</xdr:row>
          <xdr:rowOff>381000</xdr:rowOff>
        </xdr:from>
        <xdr:to>
          <xdr:col>14</xdr:col>
          <xdr:colOff>533400</xdr:colOff>
          <xdr:row>39</xdr:row>
          <xdr:rowOff>323850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36</xdr:row>
          <xdr:rowOff>0</xdr:rowOff>
        </xdr:from>
        <xdr:to>
          <xdr:col>12</xdr:col>
          <xdr:colOff>552450</xdr:colOff>
          <xdr:row>37</xdr:row>
          <xdr:rowOff>95250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Clear Flags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1st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2nd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 Black"/>
                </a:rPr>
                <a:t>3rd Shift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ctrlProp" Target="../ctrlProps/ctrlProp3.xml"/><Relationship Id="rId5" Type="http://schemas.openxmlformats.org/officeDocument/2006/relationships/printerSettings" Target="../printerSettings/printerSettings5.bin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9.bin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10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12.bin"/><Relationship Id="rId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3.vml"/><Relationship Id="rId10" Type="http://schemas.openxmlformats.org/officeDocument/2006/relationships/ctrlProp" Target="../ctrlProps/ctrlProp15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20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DM63"/>
  <sheetViews>
    <sheetView showGridLines="0" tabSelected="1" zoomScale="50" zoomScaleNormal="50" workbookViewId="0">
      <selection activeCell="A3" sqref="A3:B3"/>
    </sheetView>
  </sheetViews>
  <sheetFormatPr defaultColWidth="8.7109375" defaultRowHeight="15" x14ac:dyDescent="0.25"/>
  <cols>
    <col min="1" max="49" width="8.5703125" style="18" customWidth="1"/>
    <col min="50" max="16384" width="8.7109375" style="18"/>
  </cols>
  <sheetData>
    <row r="1" spans="1:117" ht="39.950000000000003" customHeight="1" thickTop="1" thickBot="1" x14ac:dyDescent="0.3">
      <c r="A1" s="166" t="s">
        <v>0</v>
      </c>
      <c r="B1" s="106"/>
      <c r="C1" s="142" t="s">
        <v>23</v>
      </c>
      <c r="D1" s="143"/>
      <c r="E1" s="205" t="s">
        <v>24</v>
      </c>
      <c r="F1" s="213"/>
      <c r="G1" s="213"/>
      <c r="H1" s="213"/>
      <c r="I1" s="213"/>
      <c r="J1" s="214"/>
      <c r="K1" s="166" t="s">
        <v>0</v>
      </c>
      <c r="L1" s="106"/>
      <c r="M1" s="143" t="s">
        <v>23</v>
      </c>
      <c r="N1" s="106"/>
      <c r="O1" s="205" t="s">
        <v>25</v>
      </c>
      <c r="P1" s="213"/>
      <c r="Q1" s="213"/>
      <c r="R1" s="213"/>
      <c r="S1" s="213"/>
      <c r="T1" s="213"/>
      <c r="U1" s="213"/>
      <c r="V1" s="214"/>
      <c r="W1" s="220" t="s">
        <v>13</v>
      </c>
      <c r="X1" s="221"/>
      <c r="Y1" s="166" t="s">
        <v>0</v>
      </c>
      <c r="Z1" s="106"/>
      <c r="AA1" s="106" t="s">
        <v>23</v>
      </c>
      <c r="AB1" s="106"/>
      <c r="AC1" s="205" t="s">
        <v>26</v>
      </c>
      <c r="AD1" s="213"/>
      <c r="AE1" s="213"/>
      <c r="AF1" s="213"/>
      <c r="AG1" s="213"/>
      <c r="AH1" s="213"/>
      <c r="AI1" s="213"/>
      <c r="AJ1" s="166" t="s">
        <v>0</v>
      </c>
      <c r="AK1" s="106"/>
      <c r="AL1" s="106" t="s">
        <v>23</v>
      </c>
      <c r="AM1" s="106"/>
      <c r="AN1" s="222" t="s">
        <v>32</v>
      </c>
      <c r="AO1" s="223"/>
      <c r="AP1" s="211" t="s">
        <v>43</v>
      </c>
      <c r="AQ1" s="212"/>
      <c r="AR1" s="142" t="s">
        <v>44</v>
      </c>
      <c r="AS1" s="143"/>
      <c r="AT1" s="205" t="s">
        <v>28</v>
      </c>
      <c r="AU1" s="213"/>
      <c r="AV1" s="213"/>
      <c r="AW1" s="213"/>
      <c r="AX1" s="213"/>
      <c r="AY1" s="214"/>
      <c r="AZ1" s="166" t="s">
        <v>43</v>
      </c>
      <c r="BA1" s="106"/>
      <c r="BB1" s="106" t="s">
        <v>44</v>
      </c>
      <c r="BC1" s="106"/>
      <c r="BD1" s="222" t="s">
        <v>29</v>
      </c>
      <c r="BE1" s="223"/>
      <c r="BF1" s="273" t="s">
        <v>43</v>
      </c>
      <c r="BG1" s="274"/>
      <c r="BH1" s="274" t="s">
        <v>44</v>
      </c>
      <c r="BI1" s="274"/>
      <c r="BJ1" s="281" t="s">
        <v>27</v>
      </c>
      <c r="BK1" s="282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</row>
    <row r="2" spans="1:117" ht="27.95" customHeight="1" thickTop="1" thickBot="1" x14ac:dyDescent="0.5">
      <c r="A2" s="173"/>
      <c r="B2" s="174"/>
      <c r="C2" s="175"/>
      <c r="D2" s="163"/>
      <c r="E2" s="51">
        <v>79</v>
      </c>
      <c r="F2" s="51">
        <v>80</v>
      </c>
      <c r="G2" s="51">
        <v>85</v>
      </c>
      <c r="H2" s="51" t="s">
        <v>2</v>
      </c>
      <c r="I2" s="53">
        <v>41</v>
      </c>
      <c r="J2" s="20">
        <v>42</v>
      </c>
      <c r="K2" s="161"/>
      <c r="L2" s="162"/>
      <c r="M2" s="163"/>
      <c r="N2" s="162"/>
      <c r="O2" s="51">
        <v>81</v>
      </c>
      <c r="P2" s="51">
        <v>82</v>
      </c>
      <c r="Q2" s="51">
        <v>83</v>
      </c>
      <c r="R2" s="51">
        <v>84</v>
      </c>
      <c r="S2" s="51">
        <v>87</v>
      </c>
      <c r="T2" s="51">
        <v>88</v>
      </c>
      <c r="U2" s="51">
        <v>89</v>
      </c>
      <c r="V2" s="52">
        <v>90</v>
      </c>
      <c r="W2" s="224" t="s">
        <v>1</v>
      </c>
      <c r="X2" s="225"/>
      <c r="Y2" s="161"/>
      <c r="Z2" s="162"/>
      <c r="AA2" s="162"/>
      <c r="AB2" s="162"/>
      <c r="AC2" s="51">
        <v>50</v>
      </c>
      <c r="AD2" s="51">
        <v>51</v>
      </c>
      <c r="AE2" s="51">
        <v>52</v>
      </c>
      <c r="AF2" s="51">
        <v>53</v>
      </c>
      <c r="AG2" s="51">
        <v>54</v>
      </c>
      <c r="AH2" s="51">
        <v>55</v>
      </c>
      <c r="AI2" s="52" t="s">
        <v>3</v>
      </c>
      <c r="AJ2" s="226"/>
      <c r="AK2" s="227"/>
      <c r="AL2" s="227"/>
      <c r="AM2" s="227"/>
      <c r="AN2" s="228" t="s">
        <v>18</v>
      </c>
      <c r="AO2" s="229"/>
      <c r="AP2" s="215"/>
      <c r="AQ2" s="144"/>
      <c r="AR2" s="216"/>
      <c r="AS2" s="217"/>
      <c r="AT2" s="235" t="s">
        <v>20</v>
      </c>
      <c r="AU2" s="236"/>
      <c r="AV2" s="235" t="s">
        <v>21</v>
      </c>
      <c r="AW2" s="236"/>
      <c r="AX2" s="228" t="s">
        <v>5</v>
      </c>
      <c r="AY2" s="229"/>
      <c r="AZ2" s="272"/>
      <c r="BA2" s="145"/>
      <c r="BB2" s="227"/>
      <c r="BC2" s="227"/>
      <c r="BD2" s="228" t="s">
        <v>6</v>
      </c>
      <c r="BE2" s="229"/>
      <c r="BF2" s="144"/>
      <c r="BG2" s="145"/>
      <c r="BH2" s="227"/>
      <c r="BI2" s="227"/>
      <c r="BJ2" s="228" t="s">
        <v>4</v>
      </c>
      <c r="BK2" s="22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</row>
    <row r="3" spans="1:117" ht="32.25" customHeight="1" x14ac:dyDescent="0.45">
      <c r="A3" s="159"/>
      <c r="B3" s="160"/>
      <c r="C3" s="171"/>
      <c r="D3" s="172"/>
      <c r="E3" s="33"/>
      <c r="F3" s="33"/>
      <c r="G3" s="33"/>
      <c r="H3" s="33"/>
      <c r="I3" s="33"/>
      <c r="J3" s="23"/>
      <c r="K3" s="159"/>
      <c r="L3" s="160"/>
      <c r="M3" s="148"/>
      <c r="N3" s="149"/>
      <c r="O3" s="31"/>
      <c r="P3" s="31"/>
      <c r="Q3" s="31"/>
      <c r="R3" s="31"/>
      <c r="S3" s="31"/>
      <c r="T3" s="31"/>
      <c r="U3" s="31"/>
      <c r="V3" s="35"/>
      <c r="W3" s="230">
        <f>SUM(E3:J3,O3:V3,BJ3,AT3:BE3,AC3:AI3,AN3)</f>
        <v>0</v>
      </c>
      <c r="X3" s="231"/>
      <c r="Y3" s="159"/>
      <c r="Z3" s="160"/>
      <c r="AA3" s="232"/>
      <c r="AB3" s="149"/>
      <c r="AC3" s="31"/>
      <c r="AD3" s="31"/>
      <c r="AE3" s="31"/>
      <c r="AF3" s="31"/>
      <c r="AG3" s="31"/>
      <c r="AH3" s="32"/>
      <c r="AI3" s="35"/>
      <c r="AJ3" s="159"/>
      <c r="AK3" s="160"/>
      <c r="AL3" s="148"/>
      <c r="AM3" s="149"/>
      <c r="AN3" s="233"/>
      <c r="AO3" s="234"/>
      <c r="AP3" s="266"/>
      <c r="AQ3" s="267"/>
      <c r="AR3" s="268"/>
      <c r="AS3" s="268"/>
      <c r="AT3" s="264"/>
      <c r="AU3" s="264"/>
      <c r="AV3" s="237"/>
      <c r="AW3" s="237"/>
      <c r="AX3" s="238"/>
      <c r="AY3" s="239"/>
      <c r="AZ3" s="159"/>
      <c r="BA3" s="160"/>
      <c r="BB3" s="270"/>
      <c r="BC3" s="271"/>
      <c r="BD3" s="84"/>
      <c r="BE3" s="85"/>
      <c r="BF3" s="275"/>
      <c r="BG3" s="276"/>
      <c r="BH3" s="265"/>
      <c r="BI3" s="265"/>
      <c r="BJ3" s="283"/>
      <c r="BK3" s="284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</row>
    <row r="4" spans="1:117" ht="32.25" customHeight="1" thickBot="1" x14ac:dyDescent="0.5">
      <c r="A4" s="164"/>
      <c r="B4" s="165"/>
      <c r="C4" s="169"/>
      <c r="D4" s="170"/>
      <c r="E4" s="17"/>
      <c r="F4" s="1"/>
      <c r="G4" s="1"/>
      <c r="H4" s="1"/>
      <c r="I4" s="19"/>
      <c r="J4" s="16"/>
      <c r="K4" s="155"/>
      <c r="L4" s="156"/>
      <c r="M4" s="147"/>
      <c r="N4" s="110"/>
      <c r="O4" s="17"/>
      <c r="P4" s="1"/>
      <c r="Q4" s="1"/>
      <c r="R4" s="1"/>
      <c r="S4" s="1"/>
      <c r="T4" s="1"/>
      <c r="U4" s="1"/>
      <c r="V4" s="16"/>
      <c r="W4" s="157">
        <f>SUM(AN4,BJ4,AT4:BE4)</f>
        <v>0</v>
      </c>
      <c r="X4" s="158"/>
      <c r="Y4" s="155"/>
      <c r="Z4" s="156"/>
      <c r="AA4" s="109"/>
      <c r="AB4" s="110"/>
      <c r="AC4" s="17"/>
      <c r="AD4" s="1"/>
      <c r="AE4" s="1"/>
      <c r="AF4" s="1"/>
      <c r="AG4" s="1"/>
      <c r="AH4" s="36"/>
      <c r="AI4" s="37"/>
      <c r="AJ4" s="93"/>
      <c r="AK4" s="94"/>
      <c r="AL4" s="122"/>
      <c r="AM4" s="123"/>
      <c r="AN4" s="124"/>
      <c r="AO4" s="125"/>
      <c r="AP4" s="242"/>
      <c r="AQ4" s="117"/>
      <c r="AR4" s="115"/>
      <c r="AS4" s="115"/>
      <c r="AT4" s="113"/>
      <c r="AU4" s="113"/>
      <c r="AV4" s="84"/>
      <c r="AW4" s="84"/>
      <c r="AX4" s="113"/>
      <c r="AY4" s="114"/>
      <c r="AZ4" s="93"/>
      <c r="BA4" s="94"/>
      <c r="BB4" s="86"/>
      <c r="BC4" s="87"/>
      <c r="BD4" s="84"/>
      <c r="BE4" s="85"/>
      <c r="BF4" s="277"/>
      <c r="BG4" s="278"/>
      <c r="BH4" s="115"/>
      <c r="BI4" s="115"/>
      <c r="BJ4" s="84"/>
      <c r="BK4" s="85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</row>
    <row r="5" spans="1:117" ht="32.25" customHeight="1" x14ac:dyDescent="0.45">
      <c r="A5" s="167"/>
      <c r="B5" s="168"/>
      <c r="C5" s="171"/>
      <c r="D5" s="172"/>
      <c r="E5" s="33"/>
      <c r="F5" s="33"/>
      <c r="G5" s="33"/>
      <c r="H5" s="33"/>
      <c r="I5" s="33"/>
      <c r="J5" s="23"/>
      <c r="K5" s="159"/>
      <c r="L5" s="160"/>
      <c r="M5" s="148"/>
      <c r="N5" s="149"/>
      <c r="O5" s="31"/>
      <c r="P5" s="31"/>
      <c r="Q5" s="31"/>
      <c r="R5" s="31"/>
      <c r="S5" s="31"/>
      <c r="T5" s="31"/>
      <c r="U5" s="31"/>
      <c r="V5" s="35"/>
      <c r="W5" s="157">
        <f>SUM(E5:J5,O5:V5,BJ5,AT5:BE5,AC5:AI5,AN5)</f>
        <v>0</v>
      </c>
      <c r="X5" s="158"/>
      <c r="Y5" s="159"/>
      <c r="Z5" s="160"/>
      <c r="AA5" s="232"/>
      <c r="AB5" s="149"/>
      <c r="AC5" s="31"/>
      <c r="AD5" s="31"/>
      <c r="AE5" s="31"/>
      <c r="AF5" s="31"/>
      <c r="AG5" s="31"/>
      <c r="AH5" s="32"/>
      <c r="AI5" s="35"/>
      <c r="AJ5" s="93"/>
      <c r="AK5" s="94"/>
      <c r="AL5" s="122"/>
      <c r="AM5" s="123"/>
      <c r="AN5" s="124"/>
      <c r="AO5" s="125"/>
      <c r="AP5" s="242"/>
      <c r="AQ5" s="117"/>
      <c r="AR5" s="115"/>
      <c r="AS5" s="115"/>
      <c r="AT5" s="113"/>
      <c r="AU5" s="113"/>
      <c r="AV5" s="84"/>
      <c r="AW5" s="84"/>
      <c r="AX5" s="113"/>
      <c r="AY5" s="114"/>
      <c r="AZ5" s="93"/>
      <c r="BA5" s="94"/>
      <c r="BB5" s="86"/>
      <c r="BC5" s="87"/>
      <c r="BD5" s="84"/>
      <c r="BE5" s="85"/>
      <c r="BF5" s="277"/>
      <c r="BG5" s="278"/>
      <c r="BH5" s="115"/>
      <c r="BI5" s="115"/>
      <c r="BJ5" s="84"/>
      <c r="BK5" s="85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</row>
    <row r="6" spans="1:117" ht="32.25" customHeight="1" thickBot="1" x14ac:dyDescent="0.5">
      <c r="A6" s="164"/>
      <c r="B6" s="165"/>
      <c r="C6" s="169"/>
      <c r="D6" s="170"/>
      <c r="E6" s="17"/>
      <c r="F6" s="1"/>
      <c r="G6" s="1"/>
      <c r="H6" s="1"/>
      <c r="I6" s="19"/>
      <c r="J6" s="16"/>
      <c r="K6" s="155"/>
      <c r="L6" s="156"/>
      <c r="M6" s="147"/>
      <c r="N6" s="110"/>
      <c r="O6" s="17"/>
      <c r="P6" s="1"/>
      <c r="Q6" s="1"/>
      <c r="R6" s="1"/>
      <c r="S6" s="1"/>
      <c r="T6" s="1"/>
      <c r="U6" s="1"/>
      <c r="V6" s="16"/>
      <c r="W6" s="157">
        <f>SUM(AN6,AT6:BE6)</f>
        <v>0</v>
      </c>
      <c r="X6" s="158"/>
      <c r="Y6" s="155"/>
      <c r="Z6" s="156"/>
      <c r="AA6" s="109"/>
      <c r="AB6" s="110"/>
      <c r="AC6" s="17"/>
      <c r="AD6" s="1"/>
      <c r="AE6" s="1"/>
      <c r="AF6" s="1"/>
      <c r="AG6" s="1"/>
      <c r="AH6" s="36"/>
      <c r="AI6" s="37"/>
      <c r="AJ6" s="93"/>
      <c r="AK6" s="94"/>
      <c r="AL6" s="122"/>
      <c r="AM6" s="123"/>
      <c r="AN6" s="124"/>
      <c r="AO6" s="125"/>
      <c r="AP6" s="242"/>
      <c r="AQ6" s="117"/>
      <c r="AR6" s="115"/>
      <c r="AS6" s="115"/>
      <c r="AT6" s="113"/>
      <c r="AU6" s="113"/>
      <c r="AV6" s="84"/>
      <c r="AW6" s="84"/>
      <c r="AX6" s="113"/>
      <c r="AY6" s="114"/>
      <c r="AZ6" s="93"/>
      <c r="BA6" s="94"/>
      <c r="BB6" s="86"/>
      <c r="BC6" s="87"/>
      <c r="BD6" s="84"/>
      <c r="BE6" s="85"/>
      <c r="BF6" s="277"/>
      <c r="BG6" s="278"/>
      <c r="BH6" s="115"/>
      <c r="BI6" s="115"/>
      <c r="BJ6" s="84"/>
      <c r="BK6" s="85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</row>
    <row r="7" spans="1:117" ht="32.25" customHeight="1" x14ac:dyDescent="0.45">
      <c r="A7" s="167"/>
      <c r="B7" s="168"/>
      <c r="C7" s="171"/>
      <c r="D7" s="172"/>
      <c r="E7" s="33"/>
      <c r="F7" s="33"/>
      <c r="G7" s="33"/>
      <c r="H7" s="33"/>
      <c r="I7" s="33"/>
      <c r="J7" s="23"/>
      <c r="K7" s="159"/>
      <c r="L7" s="160"/>
      <c r="M7" s="148"/>
      <c r="N7" s="149"/>
      <c r="O7" s="31"/>
      <c r="P7" s="31"/>
      <c r="Q7" s="31"/>
      <c r="R7" s="31"/>
      <c r="S7" s="31"/>
      <c r="T7" s="31"/>
      <c r="U7" s="31"/>
      <c r="V7" s="35"/>
      <c r="W7" s="157">
        <f>SUM(E7:J7,O7:V7,AT7:BE7,AC7:AI7,AN7)</f>
        <v>0</v>
      </c>
      <c r="X7" s="158"/>
      <c r="Y7" s="159"/>
      <c r="Z7" s="160"/>
      <c r="AA7" s="232"/>
      <c r="AB7" s="149"/>
      <c r="AC7" s="31"/>
      <c r="AD7" s="31"/>
      <c r="AE7" s="31"/>
      <c r="AF7" s="31"/>
      <c r="AG7" s="31"/>
      <c r="AH7" s="32"/>
      <c r="AI7" s="35"/>
      <c r="AJ7" s="93"/>
      <c r="AK7" s="94"/>
      <c r="AL7" s="122"/>
      <c r="AM7" s="123"/>
      <c r="AN7" s="124"/>
      <c r="AO7" s="125"/>
      <c r="AP7" s="242"/>
      <c r="AQ7" s="117"/>
      <c r="AR7" s="115"/>
      <c r="AS7" s="115"/>
      <c r="AT7" s="113"/>
      <c r="AU7" s="113"/>
      <c r="AV7" s="84"/>
      <c r="AW7" s="84"/>
      <c r="AX7" s="113"/>
      <c r="AY7" s="114"/>
      <c r="AZ7" s="93"/>
      <c r="BA7" s="94"/>
      <c r="BB7" s="86"/>
      <c r="BC7" s="87"/>
      <c r="BD7" s="84"/>
      <c r="BE7" s="85"/>
      <c r="BF7" s="277"/>
      <c r="BG7" s="278"/>
      <c r="BH7" s="115"/>
      <c r="BI7" s="115"/>
      <c r="BJ7" s="84"/>
      <c r="BK7" s="85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</row>
    <row r="8" spans="1:117" ht="32.25" customHeight="1" thickBot="1" x14ac:dyDescent="0.5">
      <c r="A8" s="164"/>
      <c r="B8" s="165"/>
      <c r="C8" s="169"/>
      <c r="D8" s="170"/>
      <c r="E8" s="17"/>
      <c r="F8" s="1"/>
      <c r="G8" s="1"/>
      <c r="H8" s="1"/>
      <c r="I8" s="19"/>
      <c r="J8" s="16"/>
      <c r="K8" s="155"/>
      <c r="L8" s="156"/>
      <c r="M8" s="147"/>
      <c r="N8" s="110"/>
      <c r="O8" s="17"/>
      <c r="P8" s="1"/>
      <c r="Q8" s="1"/>
      <c r="R8" s="1"/>
      <c r="S8" s="1"/>
      <c r="T8" s="1"/>
      <c r="U8" s="1"/>
      <c r="V8" s="16"/>
      <c r="W8" s="157">
        <f>SUM(AN8,AT8:AY8,BD8,BJ8)</f>
        <v>0</v>
      </c>
      <c r="X8" s="158"/>
      <c r="Y8" s="155"/>
      <c r="Z8" s="156"/>
      <c r="AA8" s="109"/>
      <c r="AB8" s="110"/>
      <c r="AC8" s="17"/>
      <c r="AD8" s="1"/>
      <c r="AE8" s="1"/>
      <c r="AF8" s="1"/>
      <c r="AG8" s="1"/>
      <c r="AH8" s="36"/>
      <c r="AI8" s="37"/>
      <c r="AJ8" s="93"/>
      <c r="AK8" s="94"/>
      <c r="AL8" s="122"/>
      <c r="AM8" s="123"/>
      <c r="AN8" s="240"/>
      <c r="AO8" s="241"/>
      <c r="AP8" s="242"/>
      <c r="AQ8" s="117"/>
      <c r="AR8" s="115"/>
      <c r="AS8" s="115"/>
      <c r="AT8" s="113"/>
      <c r="AU8" s="113"/>
      <c r="AV8" s="84"/>
      <c r="AW8" s="84"/>
      <c r="AX8" s="113"/>
      <c r="AY8" s="114"/>
      <c r="AZ8" s="93"/>
      <c r="BA8" s="94"/>
      <c r="BB8" s="86"/>
      <c r="BC8" s="87"/>
      <c r="BD8" s="84"/>
      <c r="BE8" s="85"/>
      <c r="BF8" s="277"/>
      <c r="BG8" s="278"/>
      <c r="BH8" s="115"/>
      <c r="BI8" s="115"/>
      <c r="BJ8" s="84"/>
      <c r="BK8" s="85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</row>
    <row r="9" spans="1:117" ht="32.25" customHeight="1" x14ac:dyDescent="0.45">
      <c r="A9" s="167"/>
      <c r="B9" s="168"/>
      <c r="C9" s="171"/>
      <c r="D9" s="172"/>
      <c r="E9" s="33"/>
      <c r="F9" s="33"/>
      <c r="G9" s="33"/>
      <c r="H9" s="33"/>
      <c r="I9" s="33"/>
      <c r="J9" s="23"/>
      <c r="K9" s="159"/>
      <c r="L9" s="160"/>
      <c r="M9" s="148"/>
      <c r="N9" s="149"/>
      <c r="O9" s="31"/>
      <c r="P9" s="31"/>
      <c r="Q9" s="31"/>
      <c r="R9" s="31"/>
      <c r="S9" s="31"/>
      <c r="T9" s="31"/>
      <c r="U9" s="31"/>
      <c r="V9" s="35"/>
      <c r="W9" s="157">
        <f>SUM(E9:J9,O9:V9,AC9:AI9,AN9,AT9:AY9,BD9,BJ9)</f>
        <v>0</v>
      </c>
      <c r="X9" s="158"/>
      <c r="Y9" s="159"/>
      <c r="Z9" s="160"/>
      <c r="AA9" s="232"/>
      <c r="AB9" s="149"/>
      <c r="AC9" s="31"/>
      <c r="AD9" s="31"/>
      <c r="AE9" s="31"/>
      <c r="AF9" s="31"/>
      <c r="AG9" s="31"/>
      <c r="AH9" s="32"/>
      <c r="AI9" s="35"/>
      <c r="AJ9" s="93"/>
      <c r="AK9" s="94"/>
      <c r="AL9" s="122"/>
      <c r="AM9" s="123"/>
      <c r="AN9" s="124"/>
      <c r="AO9" s="125"/>
      <c r="AP9" s="242"/>
      <c r="AQ9" s="117"/>
      <c r="AR9" s="115"/>
      <c r="AS9" s="115"/>
      <c r="AT9" s="113"/>
      <c r="AU9" s="113"/>
      <c r="AV9" s="84"/>
      <c r="AW9" s="84"/>
      <c r="AX9" s="113"/>
      <c r="AY9" s="114"/>
      <c r="AZ9" s="93"/>
      <c r="BA9" s="94"/>
      <c r="BB9" s="86"/>
      <c r="BC9" s="87"/>
      <c r="BD9" s="84"/>
      <c r="BE9" s="85"/>
      <c r="BF9" s="277"/>
      <c r="BG9" s="278"/>
      <c r="BH9" s="115"/>
      <c r="BI9" s="115"/>
      <c r="BJ9" s="84"/>
      <c r="BK9" s="85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</row>
    <row r="10" spans="1:117" ht="32.25" customHeight="1" thickBot="1" x14ac:dyDescent="0.5">
      <c r="A10" s="164"/>
      <c r="B10" s="165"/>
      <c r="C10" s="169"/>
      <c r="D10" s="170"/>
      <c r="E10" s="17"/>
      <c r="F10" s="1"/>
      <c r="G10" s="1"/>
      <c r="H10" s="1"/>
      <c r="I10" s="19"/>
      <c r="J10" s="16"/>
      <c r="K10" s="155"/>
      <c r="L10" s="156"/>
      <c r="M10" s="147"/>
      <c r="N10" s="110"/>
      <c r="O10" s="17"/>
      <c r="P10" s="1"/>
      <c r="Q10" s="1"/>
      <c r="R10" s="1"/>
      <c r="S10" s="1"/>
      <c r="T10" s="1"/>
      <c r="U10" s="1"/>
      <c r="V10" s="16"/>
      <c r="W10" s="157">
        <f>SUM(AN10,AT10:AY10,BD10,BJ10)</f>
        <v>0</v>
      </c>
      <c r="X10" s="158"/>
      <c r="Y10" s="155"/>
      <c r="Z10" s="156"/>
      <c r="AA10" s="109"/>
      <c r="AB10" s="110"/>
      <c r="AC10" s="17"/>
      <c r="AD10" s="1"/>
      <c r="AE10" s="1"/>
      <c r="AF10" s="1"/>
      <c r="AG10" s="1"/>
      <c r="AH10" s="36"/>
      <c r="AI10" s="37"/>
      <c r="AJ10" s="93"/>
      <c r="AK10" s="94"/>
      <c r="AL10" s="122"/>
      <c r="AM10" s="123"/>
      <c r="AN10" s="124"/>
      <c r="AO10" s="125"/>
      <c r="AP10" s="242"/>
      <c r="AQ10" s="117"/>
      <c r="AR10" s="115"/>
      <c r="AS10" s="115"/>
      <c r="AT10" s="113"/>
      <c r="AU10" s="113"/>
      <c r="AV10" s="84"/>
      <c r="AW10" s="84"/>
      <c r="AX10" s="113"/>
      <c r="AY10" s="114"/>
      <c r="AZ10" s="93"/>
      <c r="BA10" s="94"/>
      <c r="BB10" s="86"/>
      <c r="BC10" s="87"/>
      <c r="BD10" s="84"/>
      <c r="BE10" s="85"/>
      <c r="BF10" s="277"/>
      <c r="BG10" s="278"/>
      <c r="BH10" s="115"/>
      <c r="BI10" s="115"/>
      <c r="BJ10" s="84"/>
      <c r="BK10" s="85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</row>
    <row r="11" spans="1:117" ht="32.25" customHeight="1" x14ac:dyDescent="0.45">
      <c r="A11" s="167"/>
      <c r="B11" s="168"/>
      <c r="C11" s="171"/>
      <c r="D11" s="172"/>
      <c r="E11" s="33"/>
      <c r="F11" s="33"/>
      <c r="G11" s="33"/>
      <c r="H11" s="33"/>
      <c r="I11" s="33"/>
      <c r="J11" s="23"/>
      <c r="K11" s="159"/>
      <c r="L11" s="160"/>
      <c r="M11" s="148"/>
      <c r="N11" s="149"/>
      <c r="O11" s="31"/>
      <c r="P11" s="31"/>
      <c r="Q11" s="31"/>
      <c r="R11" s="31"/>
      <c r="S11" s="31"/>
      <c r="T11" s="31"/>
      <c r="U11" s="31"/>
      <c r="V11" s="35"/>
      <c r="W11" s="157">
        <f>SUM(E11:J11,O11:V11,AC11:AI11,AN11,AT11:AY11,BD11,BJ11)</f>
        <v>0</v>
      </c>
      <c r="X11" s="158"/>
      <c r="Y11" s="159"/>
      <c r="Z11" s="160"/>
      <c r="AA11" s="232"/>
      <c r="AB11" s="149"/>
      <c r="AC11" s="31"/>
      <c r="AD11" s="31"/>
      <c r="AE11" s="31"/>
      <c r="AF11" s="31"/>
      <c r="AG11" s="31"/>
      <c r="AH11" s="32"/>
      <c r="AI11" s="35"/>
      <c r="AJ11" s="93"/>
      <c r="AK11" s="94"/>
      <c r="AL11" s="122"/>
      <c r="AM11" s="123"/>
      <c r="AN11" s="124"/>
      <c r="AO11" s="125"/>
      <c r="AP11" s="242"/>
      <c r="AQ11" s="117"/>
      <c r="AR11" s="115"/>
      <c r="AS11" s="115"/>
      <c r="AT11" s="113"/>
      <c r="AU11" s="113"/>
      <c r="AV11" s="84"/>
      <c r="AW11" s="84"/>
      <c r="AX11" s="113"/>
      <c r="AY11" s="114"/>
      <c r="AZ11" s="93"/>
      <c r="BA11" s="94"/>
      <c r="BB11" s="86"/>
      <c r="BC11" s="87"/>
      <c r="BD11" s="84"/>
      <c r="BE11" s="85"/>
      <c r="BF11" s="277"/>
      <c r="BG11" s="278"/>
      <c r="BH11" s="115"/>
      <c r="BI11" s="115"/>
      <c r="BJ11" s="84"/>
      <c r="BK11" s="85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</row>
    <row r="12" spans="1:117" ht="32.25" customHeight="1" thickBot="1" x14ac:dyDescent="0.5">
      <c r="A12" s="164"/>
      <c r="B12" s="165"/>
      <c r="C12" s="169"/>
      <c r="D12" s="170"/>
      <c r="E12" s="17"/>
      <c r="F12" s="1"/>
      <c r="G12" s="1"/>
      <c r="H12" s="1"/>
      <c r="I12" s="19"/>
      <c r="J12" s="16"/>
      <c r="K12" s="155"/>
      <c r="L12" s="156"/>
      <c r="M12" s="147"/>
      <c r="N12" s="110"/>
      <c r="O12" s="17"/>
      <c r="P12" s="1"/>
      <c r="Q12" s="1"/>
      <c r="R12" s="1"/>
      <c r="S12" s="1"/>
      <c r="T12" s="1"/>
      <c r="U12" s="1"/>
      <c r="V12" s="16"/>
      <c r="W12" s="157">
        <f>SUM(AN12,AT12:AY12,BD12,BJ12)</f>
        <v>0</v>
      </c>
      <c r="X12" s="158"/>
      <c r="Y12" s="155"/>
      <c r="Z12" s="156"/>
      <c r="AA12" s="109"/>
      <c r="AB12" s="110"/>
      <c r="AC12" s="17"/>
      <c r="AD12" s="1"/>
      <c r="AE12" s="1"/>
      <c r="AF12" s="1"/>
      <c r="AG12" s="1"/>
      <c r="AH12" s="36"/>
      <c r="AI12" s="37"/>
      <c r="AJ12" s="93"/>
      <c r="AK12" s="94"/>
      <c r="AL12" s="122"/>
      <c r="AM12" s="123"/>
      <c r="AN12" s="124"/>
      <c r="AO12" s="125"/>
      <c r="AP12" s="242"/>
      <c r="AQ12" s="117"/>
      <c r="AR12" s="115"/>
      <c r="AS12" s="115"/>
      <c r="AT12" s="113"/>
      <c r="AU12" s="113"/>
      <c r="AV12" s="84"/>
      <c r="AW12" s="84"/>
      <c r="AX12" s="113"/>
      <c r="AY12" s="114"/>
      <c r="AZ12" s="93"/>
      <c r="BA12" s="94"/>
      <c r="BB12" s="86"/>
      <c r="BC12" s="87"/>
      <c r="BD12" s="84"/>
      <c r="BE12" s="85"/>
      <c r="BF12" s="277"/>
      <c r="BG12" s="278"/>
      <c r="BH12" s="115"/>
      <c r="BI12" s="115"/>
      <c r="BJ12" s="84"/>
      <c r="BK12" s="85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</row>
    <row r="13" spans="1:117" ht="32.25" customHeight="1" x14ac:dyDescent="0.45">
      <c r="A13" s="167"/>
      <c r="B13" s="168"/>
      <c r="C13" s="171"/>
      <c r="D13" s="172"/>
      <c r="E13" s="33"/>
      <c r="F13" s="33"/>
      <c r="G13" s="33"/>
      <c r="H13" s="33"/>
      <c r="I13" s="33"/>
      <c r="J13" s="23"/>
      <c r="K13" s="159"/>
      <c r="L13" s="160"/>
      <c r="M13" s="148"/>
      <c r="N13" s="149"/>
      <c r="O13" s="31"/>
      <c r="P13" s="31"/>
      <c r="Q13" s="31"/>
      <c r="R13" s="31"/>
      <c r="S13" s="31"/>
      <c r="T13" s="31"/>
      <c r="U13" s="31"/>
      <c r="V13" s="35"/>
      <c r="W13" s="157">
        <f>SUM(E13:J13,O13:V13,AC13:AI13,AN13,AT13:AY13,BD13,BJ13)</f>
        <v>0</v>
      </c>
      <c r="X13" s="158"/>
      <c r="Y13" s="159"/>
      <c r="Z13" s="160"/>
      <c r="AA13" s="232"/>
      <c r="AB13" s="149"/>
      <c r="AC13" s="31"/>
      <c r="AD13" s="31"/>
      <c r="AE13" s="31"/>
      <c r="AF13" s="31"/>
      <c r="AG13" s="31"/>
      <c r="AH13" s="32"/>
      <c r="AI13" s="35"/>
      <c r="AJ13" s="93"/>
      <c r="AK13" s="94"/>
      <c r="AL13" s="122"/>
      <c r="AM13" s="123"/>
      <c r="AN13" s="124"/>
      <c r="AO13" s="125"/>
      <c r="AP13" s="242"/>
      <c r="AQ13" s="117"/>
      <c r="AR13" s="115"/>
      <c r="AS13" s="115"/>
      <c r="AT13" s="113"/>
      <c r="AU13" s="113"/>
      <c r="AV13" s="84"/>
      <c r="AW13" s="84"/>
      <c r="AX13" s="113"/>
      <c r="AY13" s="114"/>
      <c r="AZ13" s="93"/>
      <c r="BA13" s="94"/>
      <c r="BB13" s="86"/>
      <c r="BC13" s="87"/>
      <c r="BD13" s="84"/>
      <c r="BE13" s="85"/>
      <c r="BF13" s="277"/>
      <c r="BG13" s="278"/>
      <c r="BH13" s="115"/>
      <c r="BI13" s="115"/>
      <c r="BJ13" s="84"/>
      <c r="BK13" s="85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</row>
    <row r="14" spans="1:117" ht="32.25" customHeight="1" thickBot="1" x14ac:dyDescent="0.5">
      <c r="A14" s="164"/>
      <c r="B14" s="165"/>
      <c r="C14" s="169"/>
      <c r="D14" s="170"/>
      <c r="E14" s="17"/>
      <c r="F14" s="1"/>
      <c r="G14" s="1"/>
      <c r="H14" s="1"/>
      <c r="I14" s="19"/>
      <c r="J14" s="16"/>
      <c r="K14" s="155"/>
      <c r="L14" s="156"/>
      <c r="M14" s="147"/>
      <c r="N14" s="110"/>
      <c r="O14" s="17"/>
      <c r="P14" s="1"/>
      <c r="Q14" s="1"/>
      <c r="R14" s="1"/>
      <c r="S14" s="1"/>
      <c r="T14" s="1"/>
      <c r="U14" s="1"/>
      <c r="V14" s="16"/>
      <c r="W14" s="157">
        <f>SUM(AN14,AT14:AY14,BD14,BJ14)</f>
        <v>0</v>
      </c>
      <c r="X14" s="158"/>
      <c r="Y14" s="155"/>
      <c r="Z14" s="156"/>
      <c r="AA14" s="109"/>
      <c r="AB14" s="110"/>
      <c r="AC14" s="17"/>
      <c r="AD14" s="1"/>
      <c r="AE14" s="1"/>
      <c r="AF14" s="1"/>
      <c r="AG14" s="1"/>
      <c r="AH14" s="36"/>
      <c r="AI14" s="37"/>
      <c r="AJ14" s="101"/>
      <c r="AK14" s="102"/>
      <c r="AL14" s="126"/>
      <c r="AM14" s="127"/>
      <c r="AN14" s="128"/>
      <c r="AO14" s="129"/>
      <c r="AP14" s="269"/>
      <c r="AQ14" s="121"/>
      <c r="AR14" s="92"/>
      <c r="AS14" s="92"/>
      <c r="AT14" s="95"/>
      <c r="AU14" s="95"/>
      <c r="AV14" s="90"/>
      <c r="AW14" s="90"/>
      <c r="AX14" s="95"/>
      <c r="AY14" s="96"/>
      <c r="AZ14" s="101"/>
      <c r="BA14" s="102"/>
      <c r="BB14" s="88"/>
      <c r="BC14" s="89"/>
      <c r="BD14" s="90"/>
      <c r="BE14" s="91"/>
      <c r="BF14" s="279"/>
      <c r="BG14" s="280"/>
      <c r="BH14" s="92"/>
      <c r="BI14" s="92"/>
      <c r="BJ14" s="90"/>
      <c r="BK14" s="91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</row>
    <row r="15" spans="1:117" ht="32.25" customHeight="1" thickTop="1" thickBot="1" x14ac:dyDescent="0.3">
      <c r="A15" s="167"/>
      <c r="B15" s="168"/>
      <c r="C15" s="171"/>
      <c r="D15" s="172"/>
      <c r="E15" s="33"/>
      <c r="F15" s="33"/>
      <c r="G15" s="33"/>
      <c r="H15" s="33"/>
      <c r="I15" s="33"/>
      <c r="J15" s="23"/>
      <c r="K15" s="159"/>
      <c r="L15" s="160"/>
      <c r="M15" s="148"/>
      <c r="N15" s="149"/>
      <c r="O15" s="31"/>
      <c r="P15" s="31"/>
      <c r="Q15" s="31"/>
      <c r="R15" s="31"/>
      <c r="S15" s="31"/>
      <c r="T15" s="31"/>
      <c r="U15" s="31"/>
      <c r="V15" s="35"/>
      <c r="W15" s="157">
        <f>SUM(E15:J15,O15:V15,AC15:AI15)</f>
        <v>0</v>
      </c>
      <c r="X15" s="158"/>
      <c r="Y15" s="159"/>
      <c r="Z15" s="160"/>
      <c r="AA15" s="232"/>
      <c r="AB15" s="149"/>
      <c r="AC15" s="31"/>
      <c r="AD15" s="31"/>
      <c r="AE15" s="31"/>
      <c r="AF15" s="31"/>
      <c r="AG15" s="31"/>
      <c r="AH15" s="32"/>
      <c r="AI15" s="35"/>
      <c r="AJ15" s="97" t="s">
        <v>43</v>
      </c>
      <c r="AK15" s="98"/>
      <c r="AL15" s="106" t="s">
        <v>44</v>
      </c>
      <c r="AM15" s="106"/>
      <c r="AN15" s="205" t="s">
        <v>30</v>
      </c>
      <c r="AO15" s="214"/>
      <c r="AP15" s="97" t="s">
        <v>43</v>
      </c>
      <c r="AQ15" s="98"/>
      <c r="AR15" s="142" t="s">
        <v>44</v>
      </c>
      <c r="AS15" s="143"/>
      <c r="AT15" s="205" t="s">
        <v>31</v>
      </c>
      <c r="AU15" s="213"/>
      <c r="AV15" s="213"/>
      <c r="AW15" s="214"/>
      <c r="AX15" s="8"/>
      <c r="AY15" s="8"/>
      <c r="AZ15" s="97" t="s">
        <v>43</v>
      </c>
      <c r="BA15" s="98"/>
      <c r="BB15" s="107" t="s">
        <v>44</v>
      </c>
      <c r="BC15" s="108"/>
      <c r="BD15" s="211" t="s">
        <v>35</v>
      </c>
      <c r="BE15" s="214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</row>
    <row r="16" spans="1:117" ht="32.25" customHeight="1" thickBot="1" x14ac:dyDescent="0.5">
      <c r="A16" s="164"/>
      <c r="B16" s="165"/>
      <c r="C16" s="169"/>
      <c r="D16" s="170"/>
      <c r="E16" s="17"/>
      <c r="F16" s="1"/>
      <c r="G16" s="1"/>
      <c r="H16" s="1"/>
      <c r="I16" s="19"/>
      <c r="J16" s="16"/>
      <c r="K16" s="155"/>
      <c r="L16" s="156"/>
      <c r="M16" s="147"/>
      <c r="N16" s="110"/>
      <c r="O16" s="17"/>
      <c r="P16" s="1"/>
      <c r="Q16" s="1"/>
      <c r="R16" s="1"/>
      <c r="S16" s="1"/>
      <c r="T16" s="1"/>
      <c r="U16" s="1"/>
      <c r="V16" s="16"/>
      <c r="W16" s="153"/>
      <c r="X16" s="154"/>
      <c r="Y16" s="155"/>
      <c r="Z16" s="156"/>
      <c r="AA16" s="109"/>
      <c r="AB16" s="110"/>
      <c r="AC16" s="17"/>
      <c r="AD16" s="1"/>
      <c r="AE16" s="1"/>
      <c r="AF16" s="1"/>
      <c r="AG16" s="1"/>
      <c r="AH16" s="36"/>
      <c r="AI16" s="37"/>
      <c r="AJ16" s="99"/>
      <c r="AK16" s="100"/>
      <c r="AL16" s="111"/>
      <c r="AM16" s="112"/>
      <c r="AN16" s="247" t="s">
        <v>7</v>
      </c>
      <c r="AO16" s="248"/>
      <c r="AP16" s="144"/>
      <c r="AQ16" s="145"/>
      <c r="AR16" s="146"/>
      <c r="AS16" s="146"/>
      <c r="AT16" s="291" t="s">
        <v>34</v>
      </c>
      <c r="AU16" s="292"/>
      <c r="AV16" s="140" t="s">
        <v>33</v>
      </c>
      <c r="AW16" s="141"/>
      <c r="AX16" s="8"/>
      <c r="AY16" s="8"/>
      <c r="AZ16" s="99"/>
      <c r="BA16" s="100"/>
      <c r="BB16" s="111"/>
      <c r="BC16" s="112"/>
      <c r="BD16" s="228" t="s">
        <v>36</v>
      </c>
      <c r="BE16" s="229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</row>
    <row r="17" spans="1:117" ht="32.25" customHeight="1" x14ac:dyDescent="0.45">
      <c r="A17" s="167"/>
      <c r="B17" s="168"/>
      <c r="C17" s="171"/>
      <c r="D17" s="172"/>
      <c r="E17" s="33"/>
      <c r="F17" s="33"/>
      <c r="G17" s="33"/>
      <c r="H17" s="33"/>
      <c r="I17" s="33"/>
      <c r="J17" s="23"/>
      <c r="K17" s="159"/>
      <c r="L17" s="160"/>
      <c r="M17" s="148"/>
      <c r="N17" s="149"/>
      <c r="O17" s="31"/>
      <c r="P17" s="31"/>
      <c r="Q17" s="31"/>
      <c r="R17" s="31"/>
      <c r="S17" s="31"/>
      <c r="T17" s="31"/>
      <c r="U17" s="31"/>
      <c r="V17" s="35"/>
      <c r="W17" s="157">
        <f>SUM(E17:J17,O17:V17,AC17:AI17,AN17,AT17:AW17,BD17)</f>
        <v>0</v>
      </c>
      <c r="X17" s="158"/>
      <c r="Y17" s="159"/>
      <c r="Z17" s="160"/>
      <c r="AA17" s="232"/>
      <c r="AB17" s="149"/>
      <c r="AC17" s="31"/>
      <c r="AD17" s="31"/>
      <c r="AE17" s="31"/>
      <c r="AF17" s="31"/>
      <c r="AG17" s="31"/>
      <c r="AH17" s="32"/>
      <c r="AI17" s="35"/>
      <c r="AJ17" s="131"/>
      <c r="AK17" s="132"/>
      <c r="AL17" s="82"/>
      <c r="AM17" s="83"/>
      <c r="AN17" s="243"/>
      <c r="AO17" s="244"/>
      <c r="AP17" s="249"/>
      <c r="AQ17" s="250"/>
      <c r="AR17" s="265"/>
      <c r="AS17" s="265"/>
      <c r="AT17" s="113"/>
      <c r="AU17" s="113"/>
      <c r="AV17" s="113"/>
      <c r="AW17" s="114"/>
      <c r="AX17" s="8"/>
      <c r="AY17" s="8"/>
      <c r="AZ17" s="131"/>
      <c r="BA17" s="132"/>
      <c r="BB17" s="82"/>
      <c r="BC17" s="83"/>
      <c r="BD17" s="84"/>
      <c r="BE17" s="85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</row>
    <row r="18" spans="1:117" ht="32.25" customHeight="1" thickBot="1" x14ac:dyDescent="0.5">
      <c r="A18" s="164"/>
      <c r="B18" s="165"/>
      <c r="C18" s="169"/>
      <c r="D18" s="170"/>
      <c r="E18" s="17"/>
      <c r="F18" s="1"/>
      <c r="G18" s="1"/>
      <c r="H18" s="1"/>
      <c r="I18" s="19"/>
      <c r="J18" s="16"/>
      <c r="K18" s="155"/>
      <c r="L18" s="156"/>
      <c r="M18" s="147"/>
      <c r="N18" s="110"/>
      <c r="O18" s="17"/>
      <c r="P18" s="1"/>
      <c r="Q18" s="1"/>
      <c r="R18" s="1"/>
      <c r="S18" s="1"/>
      <c r="T18" s="1"/>
      <c r="U18" s="1"/>
      <c r="V18" s="16"/>
      <c r="W18" s="157">
        <f>SUM(AN18,AT18,AV18,BD18)</f>
        <v>0</v>
      </c>
      <c r="X18" s="158"/>
      <c r="Y18" s="155"/>
      <c r="Z18" s="156"/>
      <c r="AA18" s="109"/>
      <c r="AB18" s="110"/>
      <c r="AC18" s="17"/>
      <c r="AD18" s="1"/>
      <c r="AE18" s="1"/>
      <c r="AF18" s="1"/>
      <c r="AG18" s="1"/>
      <c r="AH18" s="36"/>
      <c r="AI18" s="37"/>
      <c r="AJ18" s="93"/>
      <c r="AK18" s="94"/>
      <c r="AL18" s="86"/>
      <c r="AM18" s="87"/>
      <c r="AN18" s="245"/>
      <c r="AO18" s="246"/>
      <c r="AP18" s="116"/>
      <c r="AQ18" s="117"/>
      <c r="AR18" s="115"/>
      <c r="AS18" s="115"/>
      <c r="AT18" s="113"/>
      <c r="AU18" s="113"/>
      <c r="AV18" s="113"/>
      <c r="AW18" s="114"/>
      <c r="AX18" s="8"/>
      <c r="AY18" s="8"/>
      <c r="AZ18" s="93"/>
      <c r="BA18" s="94"/>
      <c r="BB18" s="86"/>
      <c r="BC18" s="87"/>
      <c r="BD18" s="84"/>
      <c r="BE18" s="85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</row>
    <row r="19" spans="1:117" ht="32.25" customHeight="1" x14ac:dyDescent="0.45">
      <c r="A19" s="167"/>
      <c r="B19" s="168"/>
      <c r="C19" s="171"/>
      <c r="D19" s="172"/>
      <c r="E19" s="33"/>
      <c r="F19" s="33"/>
      <c r="G19" s="33"/>
      <c r="H19" s="33"/>
      <c r="I19" s="33"/>
      <c r="J19" s="23"/>
      <c r="K19" s="159"/>
      <c r="L19" s="160"/>
      <c r="M19" s="148"/>
      <c r="N19" s="149"/>
      <c r="O19" s="31"/>
      <c r="P19" s="31"/>
      <c r="Q19" s="31"/>
      <c r="R19" s="31"/>
      <c r="S19" s="31"/>
      <c r="T19" s="31"/>
      <c r="U19" s="31"/>
      <c r="V19" s="35"/>
      <c r="W19" s="157">
        <f>SUM(E19:J19,O19:V19,AC19:AI19,AN19,AT19:AW19,BD19)</f>
        <v>0</v>
      </c>
      <c r="X19" s="158"/>
      <c r="Y19" s="159"/>
      <c r="Z19" s="160"/>
      <c r="AA19" s="232"/>
      <c r="AB19" s="149"/>
      <c r="AC19" s="31"/>
      <c r="AD19" s="31"/>
      <c r="AE19" s="31"/>
      <c r="AF19" s="31"/>
      <c r="AG19" s="31"/>
      <c r="AH19" s="32"/>
      <c r="AI19" s="35"/>
      <c r="AJ19" s="93"/>
      <c r="AK19" s="94"/>
      <c r="AL19" s="86"/>
      <c r="AM19" s="87"/>
      <c r="AN19" s="245"/>
      <c r="AO19" s="246"/>
      <c r="AP19" s="116"/>
      <c r="AQ19" s="117"/>
      <c r="AR19" s="115"/>
      <c r="AS19" s="115"/>
      <c r="AT19" s="113"/>
      <c r="AU19" s="113"/>
      <c r="AV19" s="113"/>
      <c r="AW19" s="114"/>
      <c r="AX19" s="8"/>
      <c r="AY19" s="8"/>
      <c r="AZ19" s="93"/>
      <c r="BA19" s="94"/>
      <c r="BB19" s="86"/>
      <c r="BC19" s="87"/>
      <c r="BD19" s="84"/>
      <c r="BE19" s="85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</row>
    <row r="20" spans="1:117" ht="32.25" customHeight="1" thickBot="1" x14ac:dyDescent="0.5">
      <c r="A20" s="164"/>
      <c r="B20" s="165"/>
      <c r="C20" s="169"/>
      <c r="D20" s="170"/>
      <c r="E20" s="17"/>
      <c r="F20" s="1"/>
      <c r="G20" s="1"/>
      <c r="H20" s="1"/>
      <c r="I20" s="19"/>
      <c r="J20" s="16"/>
      <c r="K20" s="155"/>
      <c r="L20" s="156"/>
      <c r="M20" s="147"/>
      <c r="N20" s="110"/>
      <c r="O20" s="17"/>
      <c r="P20" s="1"/>
      <c r="Q20" s="1"/>
      <c r="R20" s="1"/>
      <c r="S20" s="1"/>
      <c r="T20" s="1"/>
      <c r="U20" s="1"/>
      <c r="V20" s="16"/>
      <c r="W20" s="157">
        <f>SUM(AN20,AT20,AV20,BD20)</f>
        <v>0</v>
      </c>
      <c r="X20" s="158"/>
      <c r="Y20" s="155"/>
      <c r="Z20" s="156"/>
      <c r="AA20" s="109"/>
      <c r="AB20" s="110"/>
      <c r="AC20" s="17"/>
      <c r="AD20" s="1"/>
      <c r="AE20" s="1"/>
      <c r="AF20" s="1"/>
      <c r="AG20" s="1"/>
      <c r="AH20" s="36"/>
      <c r="AI20" s="37"/>
      <c r="AJ20" s="93"/>
      <c r="AK20" s="94"/>
      <c r="AL20" s="86"/>
      <c r="AM20" s="87"/>
      <c r="AN20" s="245"/>
      <c r="AO20" s="246"/>
      <c r="AP20" s="116"/>
      <c r="AQ20" s="117"/>
      <c r="AR20" s="115"/>
      <c r="AS20" s="115"/>
      <c r="AT20" s="113"/>
      <c r="AU20" s="113"/>
      <c r="AV20" s="113"/>
      <c r="AW20" s="114"/>
      <c r="AX20" s="8"/>
      <c r="AY20" s="8"/>
      <c r="AZ20" s="93"/>
      <c r="BA20" s="94"/>
      <c r="BB20" s="86"/>
      <c r="BC20" s="87"/>
      <c r="BD20" s="84"/>
      <c r="BE20" s="85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</row>
    <row r="21" spans="1:117" ht="32.25" customHeight="1" x14ac:dyDescent="0.45">
      <c r="A21" s="167"/>
      <c r="B21" s="168"/>
      <c r="C21" s="171"/>
      <c r="D21" s="172"/>
      <c r="E21" s="33"/>
      <c r="F21" s="33"/>
      <c r="G21" s="33"/>
      <c r="H21" s="33"/>
      <c r="I21" s="33"/>
      <c r="J21" s="23"/>
      <c r="K21" s="159"/>
      <c r="L21" s="160"/>
      <c r="M21" s="148"/>
      <c r="N21" s="149"/>
      <c r="O21" s="31"/>
      <c r="P21" s="31"/>
      <c r="Q21" s="31"/>
      <c r="R21" s="31"/>
      <c r="S21" s="31"/>
      <c r="T21" s="31"/>
      <c r="U21" s="31"/>
      <c r="V21" s="35"/>
      <c r="W21" s="157">
        <f>SUM(E21:J21,O21:V21,AC21:AI21,AN21,AT21:AW21,BD21)</f>
        <v>0</v>
      </c>
      <c r="X21" s="158"/>
      <c r="Y21" s="159"/>
      <c r="Z21" s="160"/>
      <c r="AA21" s="232"/>
      <c r="AB21" s="149"/>
      <c r="AC21" s="31"/>
      <c r="AD21" s="31"/>
      <c r="AE21" s="31"/>
      <c r="AF21" s="31"/>
      <c r="AG21" s="31"/>
      <c r="AH21" s="32"/>
      <c r="AI21" s="35"/>
      <c r="AJ21" s="93"/>
      <c r="AK21" s="94"/>
      <c r="AL21" s="86"/>
      <c r="AM21" s="87"/>
      <c r="AN21" s="245"/>
      <c r="AO21" s="246"/>
      <c r="AP21" s="116"/>
      <c r="AQ21" s="117"/>
      <c r="AR21" s="115"/>
      <c r="AS21" s="115"/>
      <c r="AT21" s="113"/>
      <c r="AU21" s="113"/>
      <c r="AV21" s="113"/>
      <c r="AW21" s="114"/>
      <c r="AX21" s="8"/>
      <c r="AY21" s="8"/>
      <c r="AZ21" s="93"/>
      <c r="BA21" s="94"/>
      <c r="BB21" s="86"/>
      <c r="BC21" s="87"/>
      <c r="BD21" s="84"/>
      <c r="BE21" s="85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</row>
    <row r="22" spans="1:117" ht="32.25" customHeight="1" thickBot="1" x14ac:dyDescent="0.5">
      <c r="A22" s="164"/>
      <c r="B22" s="165"/>
      <c r="C22" s="169"/>
      <c r="D22" s="170"/>
      <c r="E22" s="17"/>
      <c r="F22" s="1"/>
      <c r="G22" s="1"/>
      <c r="H22" s="1"/>
      <c r="I22" s="19"/>
      <c r="J22" s="16"/>
      <c r="K22" s="155"/>
      <c r="L22" s="156"/>
      <c r="M22" s="147"/>
      <c r="N22" s="110"/>
      <c r="O22" s="17"/>
      <c r="P22" s="1"/>
      <c r="Q22" s="1"/>
      <c r="R22" s="1"/>
      <c r="S22" s="1"/>
      <c r="T22" s="1"/>
      <c r="U22" s="1"/>
      <c r="V22" s="16"/>
      <c r="W22" s="157">
        <f>SUM(AN22,AT22,AV22,BD22)</f>
        <v>0</v>
      </c>
      <c r="X22" s="158"/>
      <c r="Y22" s="155"/>
      <c r="Z22" s="156"/>
      <c r="AA22" s="109"/>
      <c r="AB22" s="110"/>
      <c r="AC22" s="17"/>
      <c r="AD22" s="1"/>
      <c r="AE22" s="1"/>
      <c r="AF22" s="1"/>
      <c r="AG22" s="1"/>
      <c r="AH22" s="36"/>
      <c r="AI22" s="37"/>
      <c r="AJ22" s="93"/>
      <c r="AK22" s="94"/>
      <c r="AL22" s="86"/>
      <c r="AM22" s="87"/>
      <c r="AN22" s="245"/>
      <c r="AO22" s="246"/>
      <c r="AP22" s="116"/>
      <c r="AQ22" s="117"/>
      <c r="AR22" s="115"/>
      <c r="AS22" s="115"/>
      <c r="AT22" s="113"/>
      <c r="AU22" s="113"/>
      <c r="AV22" s="113"/>
      <c r="AW22" s="114"/>
      <c r="AX22" s="8"/>
      <c r="AY22" s="8"/>
      <c r="AZ22" s="93"/>
      <c r="BA22" s="94"/>
      <c r="BB22" s="86"/>
      <c r="BC22" s="87"/>
      <c r="BD22" s="84"/>
      <c r="BE22" s="85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</row>
    <row r="23" spans="1:117" ht="32.25" customHeight="1" x14ac:dyDescent="0.45">
      <c r="A23" s="167"/>
      <c r="B23" s="168"/>
      <c r="C23" s="171"/>
      <c r="D23" s="172"/>
      <c r="E23" s="33"/>
      <c r="F23" s="33"/>
      <c r="G23" s="33"/>
      <c r="H23" s="33"/>
      <c r="I23" s="33"/>
      <c r="J23" s="23"/>
      <c r="K23" s="159"/>
      <c r="L23" s="160"/>
      <c r="M23" s="148"/>
      <c r="N23" s="149"/>
      <c r="O23" s="31"/>
      <c r="P23" s="31"/>
      <c r="Q23" s="31"/>
      <c r="R23" s="31"/>
      <c r="S23" s="31"/>
      <c r="T23" s="31"/>
      <c r="U23" s="31"/>
      <c r="V23" s="35"/>
      <c r="W23" s="157">
        <f>SUM(E23:J23,O23:V23,AC23:AI23,AN23,AT23:AW23,BD23)</f>
        <v>0</v>
      </c>
      <c r="X23" s="158"/>
      <c r="Y23" s="159"/>
      <c r="Z23" s="160"/>
      <c r="AA23" s="232"/>
      <c r="AB23" s="149"/>
      <c r="AC23" s="31"/>
      <c r="AD23" s="31"/>
      <c r="AE23" s="31"/>
      <c r="AF23" s="31"/>
      <c r="AG23" s="31"/>
      <c r="AH23" s="32"/>
      <c r="AI23" s="35"/>
      <c r="AJ23" s="93"/>
      <c r="AK23" s="94"/>
      <c r="AL23" s="86"/>
      <c r="AM23" s="87"/>
      <c r="AN23" s="245"/>
      <c r="AO23" s="246"/>
      <c r="AP23" s="116"/>
      <c r="AQ23" s="117"/>
      <c r="AR23" s="115"/>
      <c r="AS23" s="115"/>
      <c r="AT23" s="113"/>
      <c r="AU23" s="113"/>
      <c r="AV23" s="113"/>
      <c r="AW23" s="114"/>
      <c r="AX23" s="8"/>
      <c r="AY23" s="8"/>
      <c r="AZ23" s="93"/>
      <c r="BA23" s="94"/>
      <c r="BB23" s="86"/>
      <c r="BC23" s="87"/>
      <c r="BD23" s="84"/>
      <c r="BE23" s="85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</row>
    <row r="24" spans="1:117" ht="32.25" customHeight="1" thickBot="1" x14ac:dyDescent="0.5">
      <c r="A24" s="164"/>
      <c r="B24" s="165"/>
      <c r="C24" s="169"/>
      <c r="D24" s="170"/>
      <c r="E24" s="17"/>
      <c r="F24" s="1"/>
      <c r="G24" s="1"/>
      <c r="H24" s="1"/>
      <c r="I24" s="19"/>
      <c r="J24" s="16"/>
      <c r="K24" s="155"/>
      <c r="L24" s="156"/>
      <c r="M24" s="147"/>
      <c r="N24" s="110"/>
      <c r="O24" s="17"/>
      <c r="P24" s="1"/>
      <c r="Q24" s="1"/>
      <c r="R24" s="1"/>
      <c r="S24" s="1"/>
      <c r="T24" s="1"/>
      <c r="U24" s="1"/>
      <c r="V24" s="16"/>
      <c r="W24" s="157">
        <f>SUM(AN24,AT24,AV24,BD24)</f>
        <v>0</v>
      </c>
      <c r="X24" s="158"/>
      <c r="Y24" s="155"/>
      <c r="Z24" s="156"/>
      <c r="AA24" s="109"/>
      <c r="AB24" s="110"/>
      <c r="AC24" s="17"/>
      <c r="AD24" s="1"/>
      <c r="AE24" s="1"/>
      <c r="AF24" s="1"/>
      <c r="AG24" s="1"/>
      <c r="AH24" s="36"/>
      <c r="AI24" s="37"/>
      <c r="AJ24" s="93"/>
      <c r="AK24" s="94"/>
      <c r="AL24" s="86"/>
      <c r="AM24" s="87"/>
      <c r="AN24" s="245"/>
      <c r="AO24" s="246"/>
      <c r="AP24" s="116"/>
      <c r="AQ24" s="117"/>
      <c r="AR24" s="115"/>
      <c r="AS24" s="115"/>
      <c r="AT24" s="113"/>
      <c r="AU24" s="113"/>
      <c r="AV24" s="113"/>
      <c r="AW24" s="114"/>
      <c r="AX24" s="8"/>
      <c r="AY24" s="8"/>
      <c r="AZ24" s="93"/>
      <c r="BA24" s="94"/>
      <c r="BB24" s="86"/>
      <c r="BC24" s="87"/>
      <c r="BD24" s="84"/>
      <c r="BE24" s="85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</row>
    <row r="25" spans="1:117" ht="32.25" customHeight="1" thickBot="1" x14ac:dyDescent="0.5">
      <c r="A25" s="182"/>
      <c r="B25" s="183"/>
      <c r="C25" s="180"/>
      <c r="D25" s="181"/>
      <c r="E25" s="24"/>
      <c r="F25" s="24"/>
      <c r="G25" s="24"/>
      <c r="H25" s="24"/>
      <c r="I25" s="24"/>
      <c r="J25" s="25"/>
      <c r="K25" s="256"/>
      <c r="L25" s="257"/>
      <c r="M25" s="150"/>
      <c r="N25" s="151"/>
      <c r="O25" s="26"/>
      <c r="P25" s="26"/>
      <c r="Q25" s="26"/>
      <c r="R25" s="26"/>
      <c r="S25" s="26"/>
      <c r="T25" s="26"/>
      <c r="U25" s="26"/>
      <c r="V25" s="27"/>
      <c r="W25" s="254">
        <f>SUM(E25:J25,O25:V25,AC25:AI25,AN25,AT25:AW25,BD25)</f>
        <v>0</v>
      </c>
      <c r="X25" s="255"/>
      <c r="Y25" s="256"/>
      <c r="Z25" s="257"/>
      <c r="AA25" s="258"/>
      <c r="AB25" s="151"/>
      <c r="AC25" s="26"/>
      <c r="AD25" s="26"/>
      <c r="AE25" s="26"/>
      <c r="AF25" s="26"/>
      <c r="AG25" s="26"/>
      <c r="AH25" s="38"/>
      <c r="AI25" s="27"/>
      <c r="AJ25" s="101"/>
      <c r="AK25" s="102"/>
      <c r="AL25" s="88"/>
      <c r="AM25" s="89"/>
      <c r="AN25" s="259"/>
      <c r="AO25" s="260"/>
      <c r="AP25" s="120"/>
      <c r="AQ25" s="121"/>
      <c r="AR25" s="92"/>
      <c r="AS25" s="92"/>
      <c r="AT25" s="95"/>
      <c r="AU25" s="95"/>
      <c r="AV25" s="95"/>
      <c r="AW25" s="96"/>
      <c r="AX25" s="8"/>
      <c r="AY25" s="8"/>
      <c r="AZ25" s="101"/>
      <c r="BA25" s="102"/>
      <c r="BB25" s="88"/>
      <c r="BC25" s="89"/>
      <c r="BD25" s="90"/>
      <c r="BE25" s="91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</row>
    <row r="26" spans="1:117" ht="39.950000000000003" customHeight="1" thickTop="1" thickBot="1" x14ac:dyDescent="0.3">
      <c r="A26" s="206">
        <f ca="1">TODAY()</f>
        <v>44600</v>
      </c>
      <c r="B26" s="206"/>
      <c r="C26" s="206"/>
      <c r="D26" s="206"/>
      <c r="E26" s="206"/>
      <c r="F26" s="263" t="s">
        <v>39</v>
      </c>
      <c r="G26" s="263"/>
      <c r="H26" s="263"/>
      <c r="I26" s="263"/>
      <c r="J26" s="263"/>
      <c r="K26" s="6"/>
      <c r="L26" s="7"/>
      <c r="M26" s="7"/>
      <c r="N26" s="7"/>
      <c r="O26" s="7"/>
      <c r="P26" s="7"/>
      <c r="Q26" s="7"/>
      <c r="R26" s="7"/>
      <c r="S26" s="7"/>
      <c r="T26" s="261" t="s">
        <v>8</v>
      </c>
      <c r="U26" s="261"/>
      <c r="V26" s="261"/>
      <c r="W26" s="262">
        <f>SUM(W3:X25)</f>
        <v>0</v>
      </c>
      <c r="X26" s="262"/>
      <c r="Y26" s="15"/>
      <c r="Z26" s="6"/>
      <c r="AA26" s="6"/>
      <c r="AB26" s="6"/>
      <c r="AC26" s="7"/>
      <c r="AD26" s="7"/>
      <c r="AE26" s="7"/>
      <c r="AF26" s="7"/>
      <c r="AG26" s="7"/>
      <c r="AH26" s="7"/>
      <c r="AI26" s="7"/>
      <c r="AJ26" s="7"/>
      <c r="AK26" s="7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</row>
    <row r="27" spans="1:117" ht="27.95" customHeight="1" thickBot="1" x14ac:dyDescent="0.3">
      <c r="A27" s="184" t="s">
        <v>9</v>
      </c>
      <c r="B27" s="185"/>
      <c r="C27" s="185"/>
      <c r="D27" s="185"/>
      <c r="E27" s="186"/>
      <c r="F27" s="10"/>
      <c r="G27" s="6"/>
      <c r="H27" s="6"/>
      <c r="I27" s="6"/>
      <c r="J27" s="6"/>
      <c r="K27" s="6"/>
      <c r="L27" s="7"/>
      <c r="M27" s="7"/>
      <c r="N27" s="7"/>
      <c r="O27" s="7"/>
      <c r="P27" s="7"/>
      <c r="Q27" s="7"/>
      <c r="R27" s="7"/>
      <c r="S27" s="7"/>
      <c r="T27" s="7"/>
      <c r="U27" s="6"/>
      <c r="V27" s="6"/>
      <c r="W27" s="6"/>
      <c r="X27" s="6"/>
      <c r="Y27" s="6"/>
      <c r="Z27" s="6"/>
      <c r="AA27" s="7"/>
      <c r="AB27" s="7"/>
      <c r="AC27" s="7"/>
      <c r="AD27" s="7"/>
      <c r="AE27" s="7"/>
      <c r="AF27" s="7"/>
      <c r="AG27" s="7"/>
      <c r="AH27" s="7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7"/>
      <c r="AT27" s="7"/>
      <c r="AU27" s="7"/>
      <c r="AV27" s="7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6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</row>
    <row r="28" spans="1:117" ht="32.25" customHeight="1" thickTop="1" thickBot="1" x14ac:dyDescent="0.3">
      <c r="A28" s="118" t="s">
        <v>24</v>
      </c>
      <c r="B28" s="251"/>
      <c r="C28" s="251"/>
      <c r="D28" s="251"/>
      <c r="E28" s="251"/>
      <c r="F28" s="251"/>
      <c r="G28" s="251"/>
      <c r="H28" s="119"/>
      <c r="I28" s="11"/>
      <c r="J28" s="118" t="s">
        <v>25</v>
      </c>
      <c r="K28" s="251"/>
      <c r="L28" s="251"/>
      <c r="M28" s="251"/>
      <c r="N28" s="251"/>
      <c r="O28" s="251"/>
      <c r="P28" s="251"/>
      <c r="Q28" s="251"/>
      <c r="R28" s="251"/>
      <c r="S28" s="119"/>
      <c r="T28" s="11"/>
      <c r="U28" s="118" t="s">
        <v>26</v>
      </c>
      <c r="V28" s="251"/>
      <c r="W28" s="251"/>
      <c r="X28" s="251"/>
      <c r="Y28" s="251"/>
      <c r="Z28" s="251"/>
      <c r="AA28" s="251"/>
      <c r="AB28" s="251"/>
      <c r="AC28" s="119"/>
      <c r="AD28" s="8"/>
      <c r="AE28" s="118" t="s">
        <v>32</v>
      </c>
      <c r="AF28" s="119"/>
      <c r="AG28" s="8"/>
      <c r="AH28" s="118" t="s">
        <v>30</v>
      </c>
      <c r="AI28" s="119"/>
      <c r="AJ28" s="11"/>
      <c r="AK28" s="118" t="s">
        <v>28</v>
      </c>
      <c r="AL28" s="251"/>
      <c r="AM28" s="251"/>
      <c r="AN28" s="251"/>
      <c r="AO28" s="251"/>
      <c r="AP28" s="251"/>
      <c r="AQ28" s="251"/>
      <c r="AR28" s="119"/>
      <c r="AS28" s="8"/>
      <c r="AT28" s="118" t="s">
        <v>31</v>
      </c>
      <c r="AU28" s="251"/>
      <c r="AV28" s="251"/>
      <c r="AW28" s="119"/>
      <c r="AX28" s="8"/>
      <c r="AY28" s="118" t="s">
        <v>29</v>
      </c>
      <c r="AZ28" s="119"/>
      <c r="BA28" s="8"/>
      <c r="BB28" s="118" t="s">
        <v>35</v>
      </c>
      <c r="BC28" s="119"/>
      <c r="BD28" s="8"/>
      <c r="BE28" s="118" t="s">
        <v>27</v>
      </c>
      <c r="BF28" s="119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</row>
    <row r="29" spans="1:117" ht="32.25" customHeight="1" thickTop="1" thickBot="1" x14ac:dyDescent="0.3">
      <c r="A29" s="12">
        <v>79</v>
      </c>
      <c r="B29" s="13">
        <v>80</v>
      </c>
      <c r="C29" s="13">
        <v>85</v>
      </c>
      <c r="D29" s="13" t="s">
        <v>2</v>
      </c>
      <c r="E29" s="13">
        <v>41</v>
      </c>
      <c r="F29" s="13">
        <v>42</v>
      </c>
      <c r="G29" s="207" t="s">
        <v>8</v>
      </c>
      <c r="H29" s="208"/>
      <c r="I29" s="14"/>
      <c r="J29" s="12">
        <v>81</v>
      </c>
      <c r="K29" s="13">
        <v>82</v>
      </c>
      <c r="L29" s="13">
        <v>83</v>
      </c>
      <c r="M29" s="13">
        <v>84</v>
      </c>
      <c r="N29" s="13">
        <v>87</v>
      </c>
      <c r="O29" s="13">
        <v>88</v>
      </c>
      <c r="P29" s="13">
        <v>89</v>
      </c>
      <c r="Q29" s="13">
        <v>90</v>
      </c>
      <c r="R29" s="207" t="s">
        <v>8</v>
      </c>
      <c r="S29" s="208"/>
      <c r="T29" s="14"/>
      <c r="U29" s="12">
        <v>50</v>
      </c>
      <c r="V29" s="13">
        <v>51</v>
      </c>
      <c r="W29" s="13">
        <v>52</v>
      </c>
      <c r="X29" s="13">
        <v>53</v>
      </c>
      <c r="Y29" s="13">
        <v>54</v>
      </c>
      <c r="Z29" s="13">
        <v>55</v>
      </c>
      <c r="AA29" s="13" t="s">
        <v>3</v>
      </c>
      <c r="AB29" s="134" t="s">
        <v>8</v>
      </c>
      <c r="AC29" s="135"/>
      <c r="AD29" s="8"/>
      <c r="AE29" s="136" t="s">
        <v>18</v>
      </c>
      <c r="AF29" s="137"/>
      <c r="AG29" s="8"/>
      <c r="AH29" s="136" t="s">
        <v>7</v>
      </c>
      <c r="AI29" s="137"/>
      <c r="AJ29" s="14"/>
      <c r="AK29" s="136" t="s">
        <v>20</v>
      </c>
      <c r="AL29" s="252"/>
      <c r="AM29" s="253" t="s">
        <v>21</v>
      </c>
      <c r="AN29" s="252"/>
      <c r="AO29" s="253" t="s">
        <v>5</v>
      </c>
      <c r="AP29" s="252"/>
      <c r="AQ29" s="138" t="s">
        <v>8</v>
      </c>
      <c r="AR29" s="139"/>
      <c r="AS29" s="8"/>
      <c r="AT29" s="288" t="s">
        <v>34</v>
      </c>
      <c r="AU29" s="289"/>
      <c r="AV29" s="289" t="s">
        <v>33</v>
      </c>
      <c r="AW29" s="290"/>
      <c r="AX29" s="8"/>
      <c r="AY29" s="136" t="s">
        <v>6</v>
      </c>
      <c r="AZ29" s="137"/>
      <c r="BA29" s="8"/>
      <c r="BB29" s="136" t="s">
        <v>36</v>
      </c>
      <c r="BC29" s="137"/>
      <c r="BD29" s="8"/>
      <c r="BE29" s="136" t="s">
        <v>4</v>
      </c>
      <c r="BF29" s="137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</row>
    <row r="30" spans="1:117" ht="32.25" customHeight="1" thickBot="1" x14ac:dyDescent="0.3">
      <c r="A30" s="4">
        <f t="shared" ref="A30:F30" si="0">SUM(E3:E25)</f>
        <v>0</v>
      </c>
      <c r="B30" s="55">
        <f t="shared" si="0"/>
        <v>0</v>
      </c>
      <c r="C30" s="55">
        <f t="shared" si="0"/>
        <v>0</v>
      </c>
      <c r="D30" s="55">
        <f t="shared" si="0"/>
        <v>0</v>
      </c>
      <c r="E30" s="55">
        <f t="shared" si="0"/>
        <v>0</v>
      </c>
      <c r="F30" s="55">
        <f t="shared" si="0"/>
        <v>0</v>
      </c>
      <c r="G30" s="209">
        <f>SUM(A30:F30)</f>
        <v>0</v>
      </c>
      <c r="H30" s="210"/>
      <c r="I30" s="9"/>
      <c r="J30" s="54">
        <f t="shared" ref="J30:L30" si="1">SUM(O3:O25)</f>
        <v>0</v>
      </c>
      <c r="K30" s="2">
        <f t="shared" si="1"/>
        <v>0</v>
      </c>
      <c r="L30" s="2">
        <f t="shared" si="1"/>
        <v>0</v>
      </c>
      <c r="M30" s="2">
        <f>SUM(R3:R25)</f>
        <v>0</v>
      </c>
      <c r="N30" s="2">
        <f>SUM(S3:S25)</f>
        <v>0</v>
      </c>
      <c r="O30" s="2">
        <f>SUM(T3:T25)</f>
        <v>0</v>
      </c>
      <c r="P30" s="2">
        <f>SUM(U3:U25)</f>
        <v>0</v>
      </c>
      <c r="Q30" s="2">
        <f>SUM(V3:V25)</f>
        <v>0</v>
      </c>
      <c r="R30" s="130">
        <f>SUM(J30:Q30)</f>
        <v>0</v>
      </c>
      <c r="S30" s="75"/>
      <c r="T30" s="9"/>
      <c r="U30" s="56">
        <f t="shared" ref="U30:Z30" si="2">SUM(AC3:AC25)</f>
        <v>0</v>
      </c>
      <c r="V30" s="3">
        <f t="shared" si="2"/>
        <v>0</v>
      </c>
      <c r="W30" s="3">
        <f t="shared" si="2"/>
        <v>0</v>
      </c>
      <c r="X30" s="3">
        <f t="shared" si="2"/>
        <v>0</v>
      </c>
      <c r="Y30" s="3">
        <f t="shared" si="2"/>
        <v>0</v>
      </c>
      <c r="Z30" s="3">
        <f t="shared" si="2"/>
        <v>0</v>
      </c>
      <c r="AA30" s="3">
        <f>SUM(AI3:AI25)</f>
        <v>0</v>
      </c>
      <c r="AB30" s="130">
        <f>SUM(U30:AA30)</f>
        <v>0</v>
      </c>
      <c r="AC30" s="75"/>
      <c r="AD30" s="6"/>
      <c r="AE30" s="74">
        <f>SUM(AN3:AO14)</f>
        <v>0</v>
      </c>
      <c r="AF30" s="75"/>
      <c r="AG30" s="8"/>
      <c r="AH30" s="74">
        <f>SUM(AN17:AO25)</f>
        <v>0</v>
      </c>
      <c r="AI30" s="75"/>
      <c r="AJ30" s="9"/>
      <c r="AK30" s="74">
        <f>SUM(AT3:AU14)</f>
        <v>0</v>
      </c>
      <c r="AL30" s="133"/>
      <c r="AM30" s="130">
        <f>SUM(AV3:AW14)</f>
        <v>0</v>
      </c>
      <c r="AN30" s="133"/>
      <c r="AO30" s="130">
        <f>SUM(AX3:AY14)</f>
        <v>0</v>
      </c>
      <c r="AP30" s="133"/>
      <c r="AQ30" s="130">
        <f>SUM(AK30:AP30)</f>
        <v>0</v>
      </c>
      <c r="AR30" s="75"/>
      <c r="AS30" s="8"/>
      <c r="AT30" s="71">
        <f>SUM(AT17:AU25)</f>
        <v>0</v>
      </c>
      <c r="AU30" s="72"/>
      <c r="AV30" s="72">
        <f>SUM(AV17:AW25)</f>
        <v>0</v>
      </c>
      <c r="AW30" s="73"/>
      <c r="AX30" s="8"/>
      <c r="AY30" s="74">
        <f>SUM(BD3:BE14)</f>
        <v>0</v>
      </c>
      <c r="AZ30" s="75"/>
      <c r="BA30" s="8"/>
      <c r="BB30" s="74">
        <f>SUM(BD17:BE25)</f>
        <v>0</v>
      </c>
      <c r="BC30" s="75"/>
      <c r="BD30" s="8"/>
      <c r="BE30" s="74">
        <f>SUM(BJ3:BK14)</f>
        <v>0</v>
      </c>
      <c r="BF30" s="75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</row>
    <row r="31" spans="1:117" ht="9.9499999999999993" customHeight="1" thickTop="1" thickBo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7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</row>
    <row r="32" spans="1:117" ht="32.25" customHeight="1" thickTop="1" thickBot="1" x14ac:dyDescent="0.3">
      <c r="A32" s="184" t="s">
        <v>15</v>
      </c>
      <c r="B32" s="185"/>
      <c r="C32" s="185"/>
      <c r="D32" s="185"/>
      <c r="E32" s="186"/>
      <c r="F32" s="14"/>
      <c r="G32" s="14"/>
      <c r="H32" s="14"/>
      <c r="I32" s="14"/>
      <c r="J32" s="76" t="s">
        <v>17</v>
      </c>
      <c r="K32" s="77"/>
      <c r="L32" s="77"/>
      <c r="M32" s="77"/>
      <c r="N32" s="77"/>
      <c r="O32" s="77"/>
      <c r="P32" s="77"/>
      <c r="Q32" s="78"/>
      <c r="R32" s="14"/>
      <c r="S32" s="14"/>
      <c r="T32" s="14"/>
      <c r="U32" s="14"/>
      <c r="V32" s="14"/>
      <c r="W32" s="14"/>
      <c r="X32" s="14"/>
      <c r="Y32" s="14"/>
      <c r="Z32" s="14"/>
      <c r="AA32" s="8"/>
      <c r="AB32" s="8"/>
      <c r="AC32" s="8"/>
      <c r="AD32" s="8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8"/>
      <c r="AT32" s="8"/>
      <c r="AU32" s="7"/>
      <c r="AV32" s="9"/>
      <c r="AW32" s="7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</row>
    <row r="33" spans="1:117" ht="32.25" customHeight="1" thickTop="1" thickBot="1" x14ac:dyDescent="0.3">
      <c r="A33" s="189" t="s">
        <v>12</v>
      </c>
      <c r="B33" s="190"/>
      <c r="C33" s="190"/>
      <c r="D33" s="190"/>
      <c r="E33" s="190"/>
      <c r="F33" s="191"/>
      <c r="G33" s="198">
        <f>'3rd Shift'!W26</f>
        <v>0</v>
      </c>
      <c r="H33" s="199"/>
      <c r="I33" s="14"/>
      <c r="J33" s="204" t="s">
        <v>16</v>
      </c>
      <c r="K33" s="205"/>
      <c r="L33" s="104">
        <v>41</v>
      </c>
      <c r="M33" s="104"/>
      <c r="N33" s="104">
        <v>24</v>
      </c>
      <c r="O33" s="104"/>
      <c r="P33" s="104">
        <v>25</v>
      </c>
      <c r="Q33" s="104"/>
      <c r="R33" s="118" t="s">
        <v>22</v>
      </c>
      <c r="S33" s="119"/>
      <c r="T33" s="104">
        <v>55</v>
      </c>
      <c r="U33" s="104"/>
      <c r="V33" s="104">
        <v>81</v>
      </c>
      <c r="W33" s="104"/>
      <c r="X33" s="104">
        <v>71</v>
      </c>
      <c r="Y33" s="104"/>
      <c r="Z33" s="104">
        <v>82</v>
      </c>
      <c r="AA33" s="104"/>
      <c r="AB33" s="104">
        <v>16</v>
      </c>
      <c r="AC33" s="104"/>
      <c r="AD33" s="104">
        <v>23</v>
      </c>
      <c r="AE33" s="104"/>
      <c r="AF33" s="7"/>
      <c r="AG33" s="76" t="s">
        <v>19</v>
      </c>
      <c r="AH33" s="77"/>
      <c r="AI33" s="77"/>
      <c r="AJ33" s="77"/>
      <c r="AK33" s="78"/>
      <c r="AL33" s="8"/>
      <c r="AM33" s="8"/>
      <c r="AN33" s="8"/>
      <c r="AO33" s="6"/>
      <c r="AP33" s="6"/>
      <c r="AQ33" s="8"/>
      <c r="AR33" s="8"/>
      <c r="AS33" s="6"/>
      <c r="AT33" s="7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</row>
    <row r="34" spans="1:117" ht="32.25" customHeight="1" thickTop="1" thickBot="1" x14ac:dyDescent="0.3">
      <c r="A34" s="192" t="s">
        <v>10</v>
      </c>
      <c r="B34" s="193"/>
      <c r="C34" s="193"/>
      <c r="D34" s="193"/>
      <c r="E34" s="193"/>
      <c r="F34" s="194"/>
      <c r="G34" s="200">
        <v>0</v>
      </c>
      <c r="H34" s="201"/>
      <c r="I34" s="14"/>
      <c r="J34" s="176" t="s">
        <v>14</v>
      </c>
      <c r="K34" s="177"/>
      <c r="L34" s="105" t="str">
        <f>IFERROR("SW"&amp;IF(COUNTIF(E3:J25,MAX(E3:J25))&gt;1,"Multi",INDEX(E2:J2,,SUMPRODUCT((E3:J25=MAX(E3:J25))*COLUMN(E3:J25))-COLUMN(E3:J25)+1)),"")</f>
        <v/>
      </c>
      <c r="M34" s="105"/>
      <c r="N34" s="105" t="str">
        <f>IFERROR("SW"&amp;IF(COUNTIF(O3:V25,MAX(O3:V25))&gt;1,"Multi",INDEX(O2:V2,,SUMPRODUCT((O3:V25=MAX(O3:V25))*COLUMN(O3:V25))-COLUMN(O3:V25)+1)),"")</f>
        <v/>
      </c>
      <c r="O34" s="105"/>
      <c r="P34" s="105" t="str">
        <f>IFERROR("SW"&amp;IF(COUNTIF(AC3:AI25,MAX(AC3:AI25))&gt;1,"Multi",INDEX(AC2:AI2,,SUMPRODUCT((AC3:AI25=MAX(AC3:AI25))*COLUMN(AC3:AI25))-COLUMN(AC3:AI25)+1)),"")</f>
        <v/>
      </c>
      <c r="Q34" s="105"/>
      <c r="R34" s="218" t="s">
        <v>18</v>
      </c>
      <c r="S34" s="219"/>
      <c r="T34" s="105" t="s">
        <v>7</v>
      </c>
      <c r="U34" s="105"/>
      <c r="V34" s="105" t="str">
        <f>IFERROR(IF(COUNTIF(AT3:AY14,MAX(AT3:AY14))&gt;1,"Multi",INDEX(AT2:AY2,,SUMPRODUCT((AT3:AY14=MAX(AT3:AY14))*COLUMN(AT3:AY14))-COLUMN(AT3:AY14)+1)),"")</f>
        <v/>
      </c>
      <c r="W34" s="105"/>
      <c r="X34" s="105" t="str">
        <f>IFERROR(IF(COUNTIF(AT17:AW25,MAX(AT17:AW25))&gt;1,"Multi",INDEX(AT16:AW16,,SUMPRODUCT((AT17:AW25=MAX(AT17:AW25))*COLUMN(AT17:AW25))-COLUMN(AT17:AW25)+1)),"")</f>
        <v/>
      </c>
      <c r="Y34" s="105"/>
      <c r="Z34" s="105" t="s">
        <v>6</v>
      </c>
      <c r="AA34" s="105"/>
      <c r="AB34" s="105" t="s">
        <v>36</v>
      </c>
      <c r="AC34" s="105"/>
      <c r="AD34" s="105" t="s">
        <v>4</v>
      </c>
      <c r="AE34" s="105"/>
      <c r="AF34" s="7"/>
      <c r="AG34" s="79">
        <f>SUM(FindRollers(E3:J25),FindRollers(O3:V25),FindRollers(AC3:AI25),FindRollers(BJ3:BK14),FindRollers(AT3:AY14),FindRollers(AN17:AO25),FindRollers(AT17:AW25),FindRollers(AN3:AO14),FindRollers(BD17:BE25),FindRollers(BD3:BE14))</f>
        <v>0</v>
      </c>
      <c r="AH34" s="80"/>
      <c r="AI34" s="80"/>
      <c r="AJ34" s="80"/>
      <c r="AK34" s="81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</row>
    <row r="35" spans="1:117" ht="32.25" customHeight="1" thickBot="1" x14ac:dyDescent="0.3">
      <c r="A35" s="195" t="s">
        <v>11</v>
      </c>
      <c r="B35" s="196"/>
      <c r="C35" s="196"/>
      <c r="D35" s="196"/>
      <c r="E35" s="196"/>
      <c r="F35" s="197"/>
      <c r="G35" s="202">
        <v>0</v>
      </c>
      <c r="H35" s="203"/>
      <c r="I35" s="14"/>
      <c r="J35" s="178" t="s">
        <v>37</v>
      </c>
      <c r="K35" s="179"/>
      <c r="L35" s="152" t="str">
        <f>IFERROR(IF(COUNTIF(E3:J25,MAX(E3:J25))&gt;1,"Multi",INDEX(C3:C25,SUMPRODUCT((E3:J25=MAX(E3:J25))*ROW(E3:J25))-ROW(E3:J25)+1)),"")</f>
        <v/>
      </c>
      <c r="M35" s="152"/>
      <c r="N35" s="152" t="str">
        <f>IFERROR(IF(COUNTIF(O3:V25,MAX(O3:V25))&gt;1,"Multi",INDEX(M3:M25,SUMPRODUCT((O3:V25=MAX(O3:V25))*ROW(O3:V25))-ROW(O3:V25)+1)),"")</f>
        <v/>
      </c>
      <c r="O35" s="152"/>
      <c r="P35" s="152" t="str">
        <f>IFERROR(IF(COUNTIF(AC3:AI25,MAX(AC3:AI25))&gt;1,"Multi",INDEX(AA3:AA25,SUMPRODUCT((AC3:AI25=MAX(AC3:AI25))*ROW(AC3:AI25))-ROW(AC3:AI25)+1)),"")</f>
        <v/>
      </c>
      <c r="Q35" s="152"/>
      <c r="R35" s="187" t="str">
        <f>IFERROR(IF(COUNTIF(AN3:AN14,MAX(AN3:AN14))&gt;1,"Multi",INDEX(AL3:AL14,SUMPRODUCT((AN3:AN14=MAX(AN3:AN14))*ROW(AN3:AN14))-ROW(AN3:AN14)+1)),"")</f>
        <v/>
      </c>
      <c r="S35" s="188"/>
      <c r="T35" s="103" t="str">
        <f>IFERROR(IF(COUNTIF(AN17:AN25,MAX(AN17:AN25))&gt;1,"Multi",INDEX(AL17:AL25,SUMPRODUCT((AN17:AN25=MAX(AN17:AN25))*ROW(AN17:AN25))-ROW(AN17:AN25)+1)),"")</f>
        <v/>
      </c>
      <c r="U35" s="103"/>
      <c r="V35" s="103" t="str">
        <f>IFERROR(IF(COUNTIF(AT3:AY14,MAX(AT3:AY14))&gt;1,"Multi",INDEX(AR3:AR14,SUMPRODUCT((AT3:AY14=MAX(AT3:AY14))*ROW(AT3:AY14))-ROW(AT3:AY14)+1)),"")</f>
        <v/>
      </c>
      <c r="W35" s="103"/>
      <c r="X35" s="103" t="str">
        <f>IFERROR(IF(COUNTIF(AT17:AW25,MAX(AT17:AW25))&gt;1,"Multi",INDEX(AR17:AR25,SUMPRODUCT((AT17:AW25=MAX(AT17:AW25))*ROW(AT17:AW25))-ROW(AT17:AW25)+1)),"")</f>
        <v/>
      </c>
      <c r="Y35" s="103"/>
      <c r="Z35" s="103" t="str">
        <f>IFERROR(IF(COUNTIF(BD3:BD14,MAX(BD3:BD14))&gt;1,"Multi",INDEX(BB3:BB14,SUMPRODUCT((BD3:BD14=MAX(BD3:BD14))*ROW(BD3:BD14))-ROW(BD3:BD14)+1)),"")</f>
        <v/>
      </c>
      <c r="AA35" s="103"/>
      <c r="AB35" s="103" t="str">
        <f>IFERROR(IF(COUNTIF(BD17:BD25,MAX(BD17:BD25))&gt;1,"Multi",INDEX(BB17:BB25,SUMPRODUCT((BD17:BD25=MAX(BD17:BD25))*ROW(BD17:BD25))-ROW(BD17:BD25)+1)),"")</f>
        <v/>
      </c>
      <c r="AC35" s="103"/>
      <c r="AD35" s="103" t="str">
        <f>IFERROR(IF(COUNTIF(BJ3:BJ14,MAX(BJ3:BJ14))&gt;1,"Multi",INDEX(BH3:BH14,SUMPRODUCT((BJ3:BJ14=MAX(BJ3:BJ14))*ROW(BJ3:BJ14))-ROW(BJ3:BJ14)+1)),"")</f>
        <v/>
      </c>
      <c r="AE35" s="103"/>
      <c r="AF35" s="7"/>
      <c r="AG35" s="7"/>
      <c r="AH35" s="7"/>
      <c r="AI35" s="6"/>
      <c r="AJ35" s="6"/>
      <c r="AK35" s="6"/>
      <c r="AL35" s="6"/>
      <c r="AM35" s="6"/>
      <c r="AN35" s="6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</row>
    <row r="36" spans="1:117" s="50" customFormat="1" ht="32.25" customHeight="1" thickTop="1" thickBot="1" x14ac:dyDescent="0.3">
      <c r="A36" s="40"/>
      <c r="B36" s="40"/>
      <c r="C36" s="40"/>
      <c r="D36" s="40"/>
      <c r="E36" s="40"/>
      <c r="F36" s="40"/>
      <c r="G36" s="39"/>
      <c r="H36" s="39"/>
      <c r="I36" s="14"/>
      <c r="J36" s="41"/>
      <c r="K36" s="41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7"/>
      <c r="AG36" s="7"/>
      <c r="AH36" s="7"/>
      <c r="AI36" s="6"/>
      <c r="AJ36" s="6"/>
      <c r="AK36" s="6"/>
      <c r="AL36" s="6"/>
      <c r="AM36" s="6"/>
      <c r="AN36" s="6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</row>
    <row r="37" spans="1:117" s="50" customFormat="1" ht="32.25" customHeight="1" thickBot="1" x14ac:dyDescent="0.3">
      <c r="A37" s="285" t="s">
        <v>38</v>
      </c>
      <c r="B37" s="286"/>
      <c r="C37" s="286"/>
      <c r="D37" s="286"/>
      <c r="E37" s="286"/>
      <c r="F37" s="286"/>
      <c r="G37" s="287"/>
      <c r="H37" s="43"/>
      <c r="I37" s="14"/>
      <c r="J37" s="41"/>
      <c r="K37" s="41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7"/>
      <c r="AG37" s="7"/>
      <c r="AH37" s="7"/>
      <c r="AI37" s="6"/>
      <c r="AJ37" s="6"/>
      <c r="AK37" s="6"/>
      <c r="AL37" s="6"/>
      <c r="AM37" s="6"/>
      <c r="AN37" s="6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</row>
    <row r="38" spans="1:117" s="50" customFormat="1" ht="39.950000000000003" customHeight="1" x14ac:dyDescent="0.25">
      <c r="A38" s="44"/>
      <c r="B38" s="40"/>
      <c r="C38" s="40"/>
      <c r="D38" s="40"/>
      <c r="E38" s="40"/>
      <c r="F38" s="40"/>
      <c r="G38" s="45"/>
      <c r="H38" s="39"/>
      <c r="I38" s="14"/>
      <c r="J38" s="41"/>
      <c r="K38" s="41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7"/>
      <c r="AG38" s="7"/>
      <c r="AH38" s="7"/>
      <c r="AI38" s="6"/>
      <c r="AJ38" s="6"/>
      <c r="AK38" s="6"/>
      <c r="AL38" s="6"/>
      <c r="AM38" s="6"/>
      <c r="AN38" s="6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</row>
    <row r="39" spans="1:117" ht="39.950000000000003" customHeight="1" x14ac:dyDescent="0.25">
      <c r="A39" s="10"/>
      <c r="B39" s="6"/>
      <c r="C39" s="6"/>
      <c r="D39" s="6"/>
      <c r="E39" s="6"/>
      <c r="F39" s="6"/>
      <c r="G39" s="46"/>
      <c r="H39" s="6"/>
      <c r="I39" s="6"/>
      <c r="J39" s="8"/>
      <c r="K39" s="8"/>
      <c r="L39" s="8"/>
      <c r="M39" s="8"/>
      <c r="N39" s="8"/>
      <c r="O39" s="7"/>
      <c r="P39" s="7"/>
      <c r="Q39" s="7"/>
      <c r="R39" s="7"/>
      <c r="S39" s="7"/>
      <c r="T39" s="7"/>
      <c r="U39" s="6"/>
      <c r="V39" s="6"/>
      <c r="W39" s="6"/>
      <c r="X39" s="6"/>
      <c r="Y39" s="6"/>
      <c r="Z39" s="6"/>
      <c r="AA39" s="7"/>
      <c r="AB39" s="7"/>
      <c r="AC39" s="7"/>
      <c r="AD39" s="7"/>
      <c r="AE39" s="7"/>
      <c r="AF39" s="7"/>
      <c r="AG39" s="7"/>
      <c r="AH39" s="7"/>
      <c r="AI39" s="7"/>
      <c r="AJ39" s="6"/>
      <c r="AK39" s="6"/>
      <c r="AL39" s="6"/>
      <c r="AM39" s="6"/>
      <c r="AN39" s="6"/>
      <c r="AO39" s="6"/>
      <c r="AP39" s="8"/>
      <c r="AQ39" s="8"/>
      <c r="AR39" s="6"/>
      <c r="AS39" s="6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</row>
    <row r="40" spans="1:117" ht="39.950000000000003" customHeight="1" thickBot="1" x14ac:dyDescent="0.3">
      <c r="A40" s="47"/>
      <c r="B40" s="48"/>
      <c r="C40" s="48"/>
      <c r="D40" s="48"/>
      <c r="E40" s="48"/>
      <c r="F40" s="48"/>
      <c r="G40" s="49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</row>
    <row r="41" spans="1:117" ht="39.950000000000003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</row>
    <row r="42" spans="1:117" ht="39.950000000000003" customHeight="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</row>
    <row r="43" spans="1:117" ht="39.950000000000003" customHeight="1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</row>
    <row r="44" spans="1:117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</row>
    <row r="45" spans="1:117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</row>
    <row r="46" spans="1:117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</row>
    <row r="47" spans="1:11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</row>
    <row r="48" spans="1:117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</row>
    <row r="49" spans="1:117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</row>
    <row r="50" spans="1:117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</row>
    <row r="51" spans="1:117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</row>
    <row r="52" spans="1:117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</row>
    <row r="53" spans="1:117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</row>
    <row r="54" spans="1:117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</row>
    <row r="55" spans="1:117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</row>
    <row r="56" spans="1:117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</row>
    <row r="57" spans="1:117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</row>
    <row r="58" spans="1:117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</row>
    <row r="59" spans="1:117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</row>
    <row r="60" spans="1:117" x14ac:dyDescent="0.25">
      <c r="A60" s="57">
        <v>0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</row>
    <row r="61" spans="1:117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</row>
    <row r="62" spans="1:117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</row>
    <row r="63" spans="1:117" x14ac:dyDescent="0.25">
      <c r="A63" s="59"/>
      <c r="B63" s="59"/>
      <c r="C63" s="59"/>
      <c r="D63" s="59"/>
      <c r="E63" s="59"/>
      <c r="F63" s="59"/>
      <c r="G63" s="59"/>
    </row>
  </sheetData>
  <sheetProtection selectLockedCells="1"/>
  <customSheetViews>
    <customSheetView guid="{65261948-82E8-49A2-BAB3-E584B03EBF7A}" scale="52" showGridLines="0" hiddenRows="1">
      <selection activeCell="AL12" sqref="AL12:AM12"/>
      <pageMargins left="0.7" right="0.7" top="0.75" bottom="0.75" header="0.3" footer="0.3"/>
      <pageSetup orientation="portrait" verticalDpi="300" r:id="rId1"/>
    </customSheetView>
    <customSheetView guid="{CC3BCED8-8A39-443F-B838-EFDA1E5CE6AB}" scale="52" showGridLines="0" hiddenRows="1">
      <selection activeCell="AL12" sqref="AL12:AM12"/>
      <pageMargins left="0.7" right="0.7" top="0.75" bottom="0.75" header="0.3" footer="0.3"/>
      <pageSetup orientation="portrait" verticalDpi="300" r:id="rId2"/>
    </customSheetView>
    <customSheetView guid="{9E995672-D6BA-4875-AFBE-C9975152FF6D}" scale="52" showGridLines="0" hiddenRows="1">
      <selection activeCell="AL12" sqref="AL12:AM12"/>
      <pageMargins left="0.7" right="0.7" top="0.75" bottom="0.75" header="0.3" footer="0.3"/>
      <pageSetup orientation="portrait" verticalDpi="300" r:id="rId3"/>
    </customSheetView>
    <customSheetView guid="{8FC35363-868F-4EDE-AB9E-1079786AF750}" scale="50" showGridLines="0">
      <selection activeCell="A3" sqref="A3:B3"/>
      <pageMargins left="0.7" right="0.7" top="0.75" bottom="0.75" header="0.3" footer="0.3"/>
      <pageSetup orientation="portrait" verticalDpi="300" r:id="rId4"/>
    </customSheetView>
    <customSheetView guid="{A31020AA-FEEF-4C36-BC93-A6FB09B83AD8}" scale="50" showGridLines="0">
      <selection activeCell="A3" sqref="A3:B3"/>
      <pageMargins left="0.7" right="0.7" top="0.75" bottom="0.75" header="0.3" footer="0.3"/>
      <pageSetup orientation="portrait" verticalDpi="300" r:id="rId5"/>
    </customSheetView>
  </customSheetViews>
  <mergeCells count="568">
    <mergeCell ref="A37:G37"/>
    <mergeCell ref="BJ11:BK11"/>
    <mergeCell ref="BJ12:BK12"/>
    <mergeCell ref="BJ13:BK13"/>
    <mergeCell ref="BJ14:BK14"/>
    <mergeCell ref="U28:AC28"/>
    <mergeCell ref="AK28:AR28"/>
    <mergeCell ref="AT28:AW28"/>
    <mergeCell ref="AT29:AU29"/>
    <mergeCell ref="AV29:AW29"/>
    <mergeCell ref="BB28:BC28"/>
    <mergeCell ref="BB29:BC29"/>
    <mergeCell ref="BE28:BF28"/>
    <mergeCell ref="BE29:BF29"/>
    <mergeCell ref="AT16:AU16"/>
    <mergeCell ref="AT15:AW15"/>
    <mergeCell ref="AT20:AU20"/>
    <mergeCell ref="AT21:AU21"/>
    <mergeCell ref="AT22:AU22"/>
    <mergeCell ref="AT23:AU23"/>
    <mergeCell ref="AT24:AU24"/>
    <mergeCell ref="AP20:AQ20"/>
    <mergeCell ref="AR20:AS20"/>
    <mergeCell ref="AP21:AQ21"/>
    <mergeCell ref="BJ1:BK1"/>
    <mergeCell ref="BJ2:BK2"/>
    <mergeCell ref="BF4:BG4"/>
    <mergeCell ref="BF5:BG5"/>
    <mergeCell ref="BF6:BG6"/>
    <mergeCell ref="BF7:BG7"/>
    <mergeCell ref="BF8:BG8"/>
    <mergeCell ref="BF9:BG9"/>
    <mergeCell ref="BF10:BG10"/>
    <mergeCell ref="BH4:BI4"/>
    <mergeCell ref="BH5:BI5"/>
    <mergeCell ref="BH6:BI6"/>
    <mergeCell ref="BH7:BI7"/>
    <mergeCell ref="BH8:BI8"/>
    <mergeCell ref="BH9:BI9"/>
    <mergeCell ref="BH10:BI10"/>
    <mergeCell ref="BJ3:BK3"/>
    <mergeCell ref="BJ4:BK4"/>
    <mergeCell ref="BJ5:BK5"/>
    <mergeCell ref="BJ6:BK6"/>
    <mergeCell ref="BJ7:BK7"/>
    <mergeCell ref="BJ8:BK8"/>
    <mergeCell ref="BJ9:BK9"/>
    <mergeCell ref="BJ10:BK10"/>
    <mergeCell ref="BD1:BE1"/>
    <mergeCell ref="BD15:BE15"/>
    <mergeCell ref="BD16:BE16"/>
    <mergeCell ref="BF1:BG1"/>
    <mergeCell ref="BH1:BI1"/>
    <mergeCell ref="BF2:BG2"/>
    <mergeCell ref="BH2:BI2"/>
    <mergeCell ref="BF3:BG3"/>
    <mergeCell ref="BH3:BI3"/>
    <mergeCell ref="BF11:BG11"/>
    <mergeCell ref="BF12:BG12"/>
    <mergeCell ref="BF13:BG13"/>
    <mergeCell ref="BF14:BG14"/>
    <mergeCell ref="BH11:BI11"/>
    <mergeCell ref="BH12:BI12"/>
    <mergeCell ref="BH13:BI13"/>
    <mergeCell ref="BH14:BI14"/>
    <mergeCell ref="BD2:BE2"/>
    <mergeCell ref="BD5:BE5"/>
    <mergeCell ref="BD4:BE4"/>
    <mergeCell ref="BB1:BC1"/>
    <mergeCell ref="BB2:BC2"/>
    <mergeCell ref="BB3:BC3"/>
    <mergeCell ref="BB4:BC4"/>
    <mergeCell ref="BB5:BC5"/>
    <mergeCell ref="BB6:BC6"/>
    <mergeCell ref="AZ7:BA7"/>
    <mergeCell ref="BB7:BC7"/>
    <mergeCell ref="AZ2:BA2"/>
    <mergeCell ref="AZ1:BA1"/>
    <mergeCell ref="AT13:AU13"/>
    <mergeCell ref="AT14:AU14"/>
    <mergeCell ref="AP3:AQ3"/>
    <mergeCell ref="AR3:AS3"/>
    <mergeCell ref="AP4:AQ4"/>
    <mergeCell ref="AR4:AS4"/>
    <mergeCell ref="AP5:AQ5"/>
    <mergeCell ref="AR5:AS5"/>
    <mergeCell ref="AP6:AQ6"/>
    <mergeCell ref="AR6:AS6"/>
    <mergeCell ref="AP7:AQ7"/>
    <mergeCell ref="AR7:AS7"/>
    <mergeCell ref="AP8:AQ8"/>
    <mergeCell ref="AR8:AS8"/>
    <mergeCell ref="AP9:AQ9"/>
    <mergeCell ref="AR11:AS11"/>
    <mergeCell ref="AP12:AQ12"/>
    <mergeCell ref="AR12:AS12"/>
    <mergeCell ref="AP14:AQ14"/>
    <mergeCell ref="AR14:AS14"/>
    <mergeCell ref="AD35:AE35"/>
    <mergeCell ref="BD3:BE3"/>
    <mergeCell ref="AZ25:BA25"/>
    <mergeCell ref="AV25:AW25"/>
    <mergeCell ref="AJ23:AK23"/>
    <mergeCell ref="AL23:AM23"/>
    <mergeCell ref="AN23:AO23"/>
    <mergeCell ref="AZ23:BA23"/>
    <mergeCell ref="AV23:AW23"/>
    <mergeCell ref="AT3:AU3"/>
    <mergeCell ref="AT4:AU4"/>
    <mergeCell ref="BD14:BE14"/>
    <mergeCell ref="BD13:BE13"/>
    <mergeCell ref="BD12:BE12"/>
    <mergeCell ref="BD11:BE11"/>
    <mergeCell ref="BD10:BE10"/>
    <mergeCell ref="BD9:BE9"/>
    <mergeCell ref="BD8:BE8"/>
    <mergeCell ref="BD7:BE7"/>
    <mergeCell ref="BD6:BE6"/>
    <mergeCell ref="AR17:AS17"/>
    <mergeCell ref="AP18:AQ18"/>
    <mergeCell ref="AR18:AS18"/>
    <mergeCell ref="AT25:AU25"/>
    <mergeCell ref="W23:X23"/>
    <mergeCell ref="Y23:Z23"/>
    <mergeCell ref="AA23:AB23"/>
    <mergeCell ref="R29:S29"/>
    <mergeCell ref="AK29:AL29"/>
    <mergeCell ref="AM29:AN29"/>
    <mergeCell ref="AO29:AP29"/>
    <mergeCell ref="AV24:AW24"/>
    <mergeCell ref="W25:X25"/>
    <mergeCell ref="Y25:Z25"/>
    <mergeCell ref="AA25:AB25"/>
    <mergeCell ref="AJ25:AK25"/>
    <mergeCell ref="AL25:AM25"/>
    <mergeCell ref="AN25:AO25"/>
    <mergeCell ref="T26:V26"/>
    <mergeCell ref="W26:X26"/>
    <mergeCell ref="J28:S28"/>
    <mergeCell ref="AE28:AF28"/>
    <mergeCell ref="K25:L25"/>
    <mergeCell ref="AP23:AQ23"/>
    <mergeCell ref="F26:J26"/>
    <mergeCell ref="E1:J1"/>
    <mergeCell ref="A28:H28"/>
    <mergeCell ref="W20:X20"/>
    <mergeCell ref="Y20:Z20"/>
    <mergeCell ref="AA20:AB20"/>
    <mergeCell ref="AJ20:AK20"/>
    <mergeCell ref="AL20:AM20"/>
    <mergeCell ref="AN20:AO20"/>
    <mergeCell ref="W24:X24"/>
    <mergeCell ref="Y24:Z24"/>
    <mergeCell ref="AA24:AB24"/>
    <mergeCell ref="AJ24:AK24"/>
    <mergeCell ref="AL24:AM24"/>
    <mergeCell ref="AN24:AO24"/>
    <mergeCell ref="W19:X19"/>
    <mergeCell ref="Y19:Z19"/>
    <mergeCell ref="AA19:AB19"/>
    <mergeCell ref="AJ19:AK19"/>
    <mergeCell ref="AL19:AM19"/>
    <mergeCell ref="AN19:AO19"/>
    <mergeCell ref="W15:X15"/>
    <mergeCell ref="Y15:Z15"/>
    <mergeCell ref="AA15:AB15"/>
    <mergeCell ref="AJ15:AK15"/>
    <mergeCell ref="W22:X22"/>
    <mergeCell ref="Y22:Z22"/>
    <mergeCell ref="AA22:AB22"/>
    <mergeCell ref="AJ22:AK22"/>
    <mergeCell ref="AL22:AM22"/>
    <mergeCell ref="AN22:AO22"/>
    <mergeCell ref="W21:X21"/>
    <mergeCell ref="Y21:Z21"/>
    <mergeCell ref="AA21:AB21"/>
    <mergeCell ref="AJ21:AK21"/>
    <mergeCell ref="AL21:AM21"/>
    <mergeCell ref="AN21:AO21"/>
    <mergeCell ref="AA13:AB13"/>
    <mergeCell ref="W13:X13"/>
    <mergeCell ref="AP13:AQ13"/>
    <mergeCell ref="AR13:AS13"/>
    <mergeCell ref="AT19:AU19"/>
    <mergeCell ref="AP19:AQ19"/>
    <mergeCell ref="AR19:AS19"/>
    <mergeCell ref="W17:X17"/>
    <mergeCell ref="Y17:Z17"/>
    <mergeCell ref="AA17:AB17"/>
    <mergeCell ref="AJ17:AK17"/>
    <mergeCell ref="AL17:AM17"/>
    <mergeCell ref="AN17:AO17"/>
    <mergeCell ref="AT17:AU17"/>
    <mergeCell ref="W18:X18"/>
    <mergeCell ref="Y18:Z18"/>
    <mergeCell ref="AA18:AB18"/>
    <mergeCell ref="AJ18:AK18"/>
    <mergeCell ref="AL18:AM18"/>
    <mergeCell ref="AN18:AO18"/>
    <mergeCell ref="AT18:AU18"/>
    <mergeCell ref="AN15:AO15"/>
    <mergeCell ref="AN16:AO16"/>
    <mergeCell ref="AP17:AQ17"/>
    <mergeCell ref="AA9:AB9"/>
    <mergeCell ref="W9:X9"/>
    <mergeCell ref="W12:X12"/>
    <mergeCell ref="Y12:Z12"/>
    <mergeCell ref="AA12:AB12"/>
    <mergeCell ref="AJ12:AK12"/>
    <mergeCell ref="AL12:AM12"/>
    <mergeCell ref="AN12:AO12"/>
    <mergeCell ref="AV12:AW12"/>
    <mergeCell ref="Y11:Z11"/>
    <mergeCell ref="AL11:AM11"/>
    <mergeCell ref="AN11:AO11"/>
    <mergeCell ref="AV11:AW11"/>
    <mergeCell ref="AJ11:AK11"/>
    <mergeCell ref="AA11:AB11"/>
    <mergeCell ref="W11:X11"/>
    <mergeCell ref="AT9:AU9"/>
    <mergeCell ref="AT10:AU10"/>
    <mergeCell ref="AT11:AU11"/>
    <mergeCell ref="AT12:AU12"/>
    <mergeCell ref="AR9:AS9"/>
    <mergeCell ref="AP10:AQ10"/>
    <mergeCell ref="AR10:AS10"/>
    <mergeCell ref="AP11:AQ11"/>
    <mergeCell ref="BB9:BC9"/>
    <mergeCell ref="BB10:BC10"/>
    <mergeCell ref="AV5:AW5"/>
    <mergeCell ref="W8:X8"/>
    <mergeCell ref="Y8:Z8"/>
    <mergeCell ref="AA8:AB8"/>
    <mergeCell ref="AJ8:AK8"/>
    <mergeCell ref="AL8:AM8"/>
    <mergeCell ref="AN8:AO8"/>
    <mergeCell ref="AV8:AW8"/>
    <mergeCell ref="W7:X7"/>
    <mergeCell ref="Y7:Z7"/>
    <mergeCell ref="AA7:AB7"/>
    <mergeCell ref="AJ7:AK7"/>
    <mergeCell ref="AL7:AM7"/>
    <mergeCell ref="AN7:AO7"/>
    <mergeCell ref="AV7:AW7"/>
    <mergeCell ref="AT5:AU5"/>
    <mergeCell ref="AZ8:BA8"/>
    <mergeCell ref="BB8:BC8"/>
    <mergeCell ref="AZ9:BA9"/>
    <mergeCell ref="W10:X10"/>
    <mergeCell ref="Y10:Z10"/>
    <mergeCell ref="AA10:AB10"/>
    <mergeCell ref="W6:X6"/>
    <mergeCell ref="Y6:Z6"/>
    <mergeCell ref="AA6:AB6"/>
    <mergeCell ref="AJ6:AK6"/>
    <mergeCell ref="AL6:AM6"/>
    <mergeCell ref="AN6:AO6"/>
    <mergeCell ref="AV6:AW6"/>
    <mergeCell ref="AZ6:BA6"/>
    <mergeCell ref="W5:X5"/>
    <mergeCell ref="Y5:Z5"/>
    <mergeCell ref="AA5:AB5"/>
    <mergeCell ref="AJ5:AK5"/>
    <mergeCell ref="AL5:AM5"/>
    <mergeCell ref="AN5:AO5"/>
    <mergeCell ref="AX5:AY5"/>
    <mergeCell ref="AX6:AY6"/>
    <mergeCell ref="AT6:AU6"/>
    <mergeCell ref="AX2:AY2"/>
    <mergeCell ref="AZ3:BA3"/>
    <mergeCell ref="W4:X4"/>
    <mergeCell ref="Y4:Z4"/>
    <mergeCell ref="AA4:AB4"/>
    <mergeCell ref="AJ4:AK4"/>
    <mergeCell ref="AL4:AM4"/>
    <mergeCell ref="AN4:AO4"/>
    <mergeCell ref="AV4:AW4"/>
    <mergeCell ref="AZ4:BA4"/>
    <mergeCell ref="W3:X3"/>
    <mergeCell ref="Y3:Z3"/>
    <mergeCell ref="AA3:AB3"/>
    <mergeCell ref="AJ3:AK3"/>
    <mergeCell ref="AL3:AM3"/>
    <mergeCell ref="AN3:AO3"/>
    <mergeCell ref="AV2:AW2"/>
    <mergeCell ref="AT2:AU2"/>
    <mergeCell ref="AV3:AW3"/>
    <mergeCell ref="AX3:AY3"/>
    <mergeCell ref="AX4:AY4"/>
    <mergeCell ref="AJ1:AK1"/>
    <mergeCell ref="AL1:AM1"/>
    <mergeCell ref="AN1:AO1"/>
    <mergeCell ref="W2:X2"/>
    <mergeCell ref="Y2:Z2"/>
    <mergeCell ref="AA2:AB2"/>
    <mergeCell ref="AJ2:AK2"/>
    <mergeCell ref="AL2:AM2"/>
    <mergeCell ref="AN2:AO2"/>
    <mergeCell ref="AC1:AI1"/>
    <mergeCell ref="AP1:AQ1"/>
    <mergeCell ref="AR1:AS1"/>
    <mergeCell ref="AT1:AY1"/>
    <mergeCell ref="AP2:AQ2"/>
    <mergeCell ref="AR2:AS2"/>
    <mergeCell ref="V33:W33"/>
    <mergeCell ref="P34:Q34"/>
    <mergeCell ref="R34:S34"/>
    <mergeCell ref="T34:U34"/>
    <mergeCell ref="V34:W34"/>
    <mergeCell ref="AD34:AE34"/>
    <mergeCell ref="O1:V1"/>
    <mergeCell ref="W1:X1"/>
    <mergeCell ref="Y1:Z1"/>
    <mergeCell ref="AA1:AB1"/>
    <mergeCell ref="Z34:AA34"/>
    <mergeCell ref="AX10:AY10"/>
    <mergeCell ref="AX11:AY11"/>
    <mergeCell ref="AX12:AY12"/>
    <mergeCell ref="AV17:AW17"/>
    <mergeCell ref="AB30:AC30"/>
    <mergeCell ref="AE30:AF30"/>
    <mergeCell ref="AY30:AZ30"/>
    <mergeCell ref="AK30:AL30"/>
    <mergeCell ref="C25:D25"/>
    <mergeCell ref="A24:B24"/>
    <mergeCell ref="A25:B25"/>
    <mergeCell ref="N34:O34"/>
    <mergeCell ref="J32:Q32"/>
    <mergeCell ref="A27:E27"/>
    <mergeCell ref="N35:O35"/>
    <mergeCell ref="P35:Q35"/>
    <mergeCell ref="R35:S35"/>
    <mergeCell ref="N33:O33"/>
    <mergeCell ref="P33:Q33"/>
    <mergeCell ref="R33:S33"/>
    <mergeCell ref="R30:S30"/>
    <mergeCell ref="A33:F33"/>
    <mergeCell ref="A34:F34"/>
    <mergeCell ref="A35:F35"/>
    <mergeCell ref="G33:H33"/>
    <mergeCell ref="G34:H34"/>
    <mergeCell ref="G35:H35"/>
    <mergeCell ref="J33:K33"/>
    <mergeCell ref="A26:E26"/>
    <mergeCell ref="A32:E32"/>
    <mergeCell ref="G29:H29"/>
    <mergeCell ref="G30:H30"/>
    <mergeCell ref="J34:K34"/>
    <mergeCell ref="J35:K35"/>
    <mergeCell ref="K23:L23"/>
    <mergeCell ref="K24:L24"/>
    <mergeCell ref="K16:L16"/>
    <mergeCell ref="K17:L17"/>
    <mergeCell ref="K18:L18"/>
    <mergeCell ref="K19:L19"/>
    <mergeCell ref="K20:L20"/>
    <mergeCell ref="K21:L21"/>
    <mergeCell ref="C18:D18"/>
    <mergeCell ref="C19:D19"/>
    <mergeCell ref="C20:D20"/>
    <mergeCell ref="C21:D21"/>
    <mergeCell ref="C22:D22"/>
    <mergeCell ref="C23:D23"/>
    <mergeCell ref="C16:D16"/>
    <mergeCell ref="C17:D17"/>
    <mergeCell ref="C24:D24"/>
    <mergeCell ref="A1:B1"/>
    <mergeCell ref="A2:B2"/>
    <mergeCell ref="A3:B3"/>
    <mergeCell ref="C1:D1"/>
    <mergeCell ref="M16:N16"/>
    <mergeCell ref="M17:N17"/>
    <mergeCell ref="M18:N18"/>
    <mergeCell ref="M19:N19"/>
    <mergeCell ref="A23:B23"/>
    <mergeCell ref="M20:N20"/>
    <mergeCell ref="M21:N21"/>
    <mergeCell ref="M22:N22"/>
    <mergeCell ref="M23:N23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A13:B13"/>
    <mergeCell ref="A14:B14"/>
    <mergeCell ref="A15:B15"/>
    <mergeCell ref="A4:B4"/>
    <mergeCell ref="K10:L10"/>
    <mergeCell ref="K11:L11"/>
    <mergeCell ref="K4:L4"/>
    <mergeCell ref="K5:L5"/>
    <mergeCell ref="K6:L6"/>
    <mergeCell ref="K7:L7"/>
    <mergeCell ref="C12:D12"/>
    <mergeCell ref="C13:D13"/>
    <mergeCell ref="C14:D14"/>
    <mergeCell ref="C15:D15"/>
    <mergeCell ref="A5:B5"/>
    <mergeCell ref="A6:B6"/>
    <mergeCell ref="A7:B7"/>
    <mergeCell ref="A8:B8"/>
    <mergeCell ref="A9:B9"/>
    <mergeCell ref="K12:L12"/>
    <mergeCell ref="K13:L13"/>
    <mergeCell ref="K14:L14"/>
    <mergeCell ref="K15:L15"/>
    <mergeCell ref="K2:L2"/>
    <mergeCell ref="K3:L3"/>
    <mergeCell ref="M2:N2"/>
    <mergeCell ref="M3:N3"/>
    <mergeCell ref="A22:B22"/>
    <mergeCell ref="K8:L8"/>
    <mergeCell ref="K9:L9"/>
    <mergeCell ref="K22:L22"/>
    <mergeCell ref="M1:N1"/>
    <mergeCell ref="M4:N4"/>
    <mergeCell ref="M5:N5"/>
    <mergeCell ref="M6:N6"/>
    <mergeCell ref="M7:N7"/>
    <mergeCell ref="M15:N15"/>
    <mergeCell ref="K1:L1"/>
    <mergeCell ref="A16:B16"/>
    <mergeCell ref="A17:B17"/>
    <mergeCell ref="A18:B18"/>
    <mergeCell ref="A19:B19"/>
    <mergeCell ref="A20:B20"/>
    <mergeCell ref="A21:B21"/>
    <mergeCell ref="A10:B10"/>
    <mergeCell ref="A11:B11"/>
    <mergeCell ref="A12:B12"/>
    <mergeCell ref="M8:N8"/>
    <mergeCell ref="M9:N9"/>
    <mergeCell ref="M10:N10"/>
    <mergeCell ref="M11:N11"/>
    <mergeCell ref="M12:N12"/>
    <mergeCell ref="M13:N13"/>
    <mergeCell ref="M25:N25"/>
    <mergeCell ref="M14:N14"/>
    <mergeCell ref="X35:Y35"/>
    <mergeCell ref="X33:Y33"/>
    <mergeCell ref="X34:Y34"/>
    <mergeCell ref="M24:N24"/>
    <mergeCell ref="L34:M34"/>
    <mergeCell ref="L33:M33"/>
    <mergeCell ref="L35:M35"/>
    <mergeCell ref="T35:U35"/>
    <mergeCell ref="V35:W35"/>
    <mergeCell ref="T33:U33"/>
    <mergeCell ref="W16:X16"/>
    <mergeCell ref="Y16:Z16"/>
    <mergeCell ref="W14:X14"/>
    <mergeCell ref="Y14:Z14"/>
    <mergeCell ref="Y9:Z9"/>
    <mergeCell ref="Y13:Z13"/>
    <mergeCell ref="AX7:AY7"/>
    <mergeCell ref="AX9:AY9"/>
    <mergeCell ref="AZ5:BA5"/>
    <mergeCell ref="AJ10:AK10"/>
    <mergeCell ref="AL10:AM10"/>
    <mergeCell ref="AN10:AO10"/>
    <mergeCell ref="AV10:AW10"/>
    <mergeCell ref="AZ10:BA10"/>
    <mergeCell ref="AV16:AW16"/>
    <mergeCell ref="AZ13:BA13"/>
    <mergeCell ref="AX8:AY8"/>
    <mergeCell ref="AX13:AY13"/>
    <mergeCell ref="AV9:AW9"/>
    <mergeCell ref="AN9:AO9"/>
    <mergeCell ref="AJ9:AK9"/>
    <mergeCell ref="AL9:AM9"/>
    <mergeCell ref="AV14:AW14"/>
    <mergeCell ref="AJ13:AK13"/>
    <mergeCell ref="AT7:AU7"/>
    <mergeCell ref="AT8:AU8"/>
    <mergeCell ref="AP15:AQ15"/>
    <mergeCell ref="AR15:AS15"/>
    <mergeCell ref="AP16:AQ16"/>
    <mergeCell ref="AR16:AS16"/>
    <mergeCell ref="AL13:AM13"/>
    <mergeCell ref="AN13:AO13"/>
    <mergeCell ref="AV13:AW13"/>
    <mergeCell ref="AA14:AB14"/>
    <mergeCell ref="AJ14:AK14"/>
    <mergeCell ref="AL14:AM14"/>
    <mergeCell ref="AN14:AO14"/>
    <mergeCell ref="BB24:BC24"/>
    <mergeCell ref="AH30:AI30"/>
    <mergeCell ref="AQ30:AR30"/>
    <mergeCell ref="AZ17:BA17"/>
    <mergeCell ref="AM30:AN30"/>
    <mergeCell ref="AO30:AP30"/>
    <mergeCell ref="AH28:AI28"/>
    <mergeCell ref="AB29:AC29"/>
    <mergeCell ref="AE29:AF29"/>
    <mergeCell ref="AY29:AZ29"/>
    <mergeCell ref="AQ29:AR29"/>
    <mergeCell ref="AH29:AI29"/>
    <mergeCell ref="AV18:AW18"/>
    <mergeCell ref="AV19:AW19"/>
    <mergeCell ref="AV20:AW20"/>
    <mergeCell ref="AV21:AW21"/>
    <mergeCell ref="AZ22:BA22"/>
    <mergeCell ref="Z35:AA35"/>
    <mergeCell ref="Z33:AA33"/>
    <mergeCell ref="AB33:AC33"/>
    <mergeCell ref="AB34:AC34"/>
    <mergeCell ref="AB35:AC35"/>
    <mergeCell ref="AD33:AE33"/>
    <mergeCell ref="AL15:AM15"/>
    <mergeCell ref="BB15:BC15"/>
    <mergeCell ref="AA16:AB16"/>
    <mergeCell ref="AJ16:AK16"/>
    <mergeCell ref="AL16:AM16"/>
    <mergeCell ref="BB16:BC16"/>
    <mergeCell ref="AV22:AW22"/>
    <mergeCell ref="AZ20:BA20"/>
    <mergeCell ref="AZ24:BA24"/>
    <mergeCell ref="AR21:AS21"/>
    <mergeCell ref="AP22:AQ22"/>
    <mergeCell ref="AR22:AS22"/>
    <mergeCell ref="AR23:AS23"/>
    <mergeCell ref="AP24:AQ24"/>
    <mergeCell ref="AR24:AS24"/>
    <mergeCell ref="AZ21:BA21"/>
    <mergeCell ref="AY28:AZ28"/>
    <mergeCell ref="AP25:AQ25"/>
    <mergeCell ref="AZ11:BA11"/>
    <mergeCell ref="BB11:BC11"/>
    <mergeCell ref="AZ12:BA12"/>
    <mergeCell ref="BB12:BC12"/>
    <mergeCell ref="AX14:AY14"/>
    <mergeCell ref="AZ15:BA15"/>
    <mergeCell ref="AZ16:BA16"/>
    <mergeCell ref="AZ19:BA19"/>
    <mergeCell ref="AZ18:BA18"/>
    <mergeCell ref="BB13:BC13"/>
    <mergeCell ref="AZ14:BA14"/>
    <mergeCell ref="BB14:BC14"/>
    <mergeCell ref="AT30:AU30"/>
    <mergeCell ref="AV30:AW30"/>
    <mergeCell ref="BB30:BC30"/>
    <mergeCell ref="BE30:BF30"/>
    <mergeCell ref="AG33:AK33"/>
    <mergeCell ref="AG34:AK34"/>
    <mergeCell ref="BB17:BC17"/>
    <mergeCell ref="BD17:BE17"/>
    <mergeCell ref="BB18:BC18"/>
    <mergeCell ref="BD18:BE18"/>
    <mergeCell ref="BB19:BC19"/>
    <mergeCell ref="BD19:BE19"/>
    <mergeCell ref="BB25:BC25"/>
    <mergeCell ref="BD25:BE25"/>
    <mergeCell ref="BB20:BC20"/>
    <mergeCell ref="BD20:BE20"/>
    <mergeCell ref="BB21:BC21"/>
    <mergeCell ref="BD21:BE21"/>
    <mergeCell ref="BB22:BC22"/>
    <mergeCell ref="BD22:BE22"/>
    <mergeCell ref="BB23:BC23"/>
    <mergeCell ref="BD23:BE23"/>
    <mergeCell ref="BD24:BE24"/>
    <mergeCell ref="AR25:AS25"/>
  </mergeCells>
  <conditionalFormatting sqref="AG34 U30:AB30">
    <cfRule type="cellIs" dxfId="231" priority="126" stopIfTrue="1" operator="greaterThan">
      <formula>0</formula>
    </cfRule>
  </conditionalFormatting>
  <conditionalFormatting sqref="AG34 U30:AB30">
    <cfRule type="cellIs" dxfId="230" priority="124" stopIfTrue="1" operator="equal">
      <formula>0</formula>
    </cfRule>
  </conditionalFormatting>
  <conditionalFormatting sqref="O3:V3 O5:V5 O7:V7 O9:V9 O11:V11 O13:V13 O15:V15 O17:V17 O19:V19 O21:V21 O23:V23 O25:V25 E3:J3 E5:J5 E7:J7 E9:J9 E11:J11 E13:J13 E15:J15 E17:J17 E19:J19 E21:J21 E23:J23 E25:J25 AT3:AT14 AV3:AV14 AN17:AN25 BJ3:BJ14">
    <cfRule type="cellIs" dxfId="229" priority="79" stopIfTrue="1" operator="equal">
      <formula>"X"</formula>
    </cfRule>
  </conditionalFormatting>
  <conditionalFormatting sqref="AY30 AH30 O3:V3 O5:V5 O7:V7 O9:V9 O11:V11 O13:V13 O15:V15 O17:V17 O19:V19 O21:V21 O23:V23 O25:V25 J30:S30 AK30 AQ30 W3:X15 E3:J3 E5:J5 E7:J7 E9:J9 E11:J11 E13:J13 E15:J15 E17:J17 E19:J19 E21:J21 E23:J23 E25:J25 G30:H30 A30:E30 AM30 AT3:AT14 AV3:AV14 AN17:AN25 BJ3:BJ14 W17:X26">
    <cfRule type="cellIs" dxfId="228" priority="83" stopIfTrue="1" operator="greaterThan">
      <formula>0</formula>
    </cfRule>
  </conditionalFormatting>
  <conditionalFormatting sqref="AY30 AK30 AM30 AQ30 AH30 J30:S30 W3:X15 G30:H30 A30:E30 W17:X26">
    <cfRule type="cellIs" dxfId="227" priority="81" stopIfTrue="1" operator="equal">
      <formula>0</formula>
    </cfRule>
  </conditionalFormatting>
  <conditionalFormatting sqref="O3:V25 E3:J25 AT3:AT14 AV3:AV14 AN17:AN25 BJ3:BJ14">
    <cfRule type="cellIs" dxfId="226" priority="80" stopIfTrue="1" operator="equal">
      <formula>"PO"</formula>
    </cfRule>
    <cfRule type="cellIs" dxfId="225" priority="82" stopIfTrue="1" operator="equal">
      <formula>"ip"</formula>
    </cfRule>
  </conditionalFormatting>
  <conditionalFormatting sqref="AV17:AW25">
    <cfRule type="cellIs" dxfId="224" priority="75" stopIfTrue="1" operator="equal">
      <formula>"X"</formula>
    </cfRule>
  </conditionalFormatting>
  <conditionalFormatting sqref="AV17:AW25">
    <cfRule type="cellIs" dxfId="223" priority="78" stopIfTrue="1" operator="greaterThan">
      <formula>0</formula>
    </cfRule>
  </conditionalFormatting>
  <conditionalFormatting sqref="AV17:AW25">
    <cfRule type="cellIs" dxfId="222" priority="76" stopIfTrue="1" operator="equal">
      <formula>"PO"</formula>
    </cfRule>
    <cfRule type="cellIs" dxfId="221" priority="77" stopIfTrue="1" operator="equal">
      <formula>"ip"</formula>
    </cfRule>
  </conditionalFormatting>
  <conditionalFormatting sqref="AI3 AI5 AI7 AI9 AI11 AI13 AI15 AI17 AI19 AI21 AI23 AI25">
    <cfRule type="cellIs" dxfId="220" priority="67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219" priority="71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218" priority="74" stopIfTrue="1" operator="greaterThan">
      <formula>0</formula>
    </cfRule>
  </conditionalFormatting>
  <conditionalFormatting sqref="AC3:AH25">
    <cfRule type="cellIs" dxfId="217" priority="72" stopIfTrue="1" operator="equal">
      <formula>"PO"</formula>
    </cfRule>
    <cfRule type="cellIs" dxfId="216" priority="73" stopIfTrue="1" operator="equal">
      <formula>"ip"</formula>
    </cfRule>
  </conditionalFormatting>
  <conditionalFormatting sqref="AI3 AI5 AI7 AI9 AI11 AI13 AI15 AI17 AI19 AI21 AI23 AI25">
    <cfRule type="cellIs" dxfId="215" priority="70" stopIfTrue="1" operator="greaterThan">
      <formula>0</formula>
    </cfRule>
  </conditionalFormatting>
  <conditionalFormatting sqref="AI3:AI25">
    <cfRule type="cellIs" dxfId="214" priority="68" stopIfTrue="1" operator="equal">
      <formula>"PO"</formula>
    </cfRule>
    <cfRule type="cellIs" dxfId="213" priority="69" stopIfTrue="1" operator="equal">
      <formula>"ip"</formula>
    </cfRule>
  </conditionalFormatting>
  <conditionalFormatting sqref="AN8:AO14 AN3:AO5">
    <cfRule type="cellIs" dxfId="212" priority="63" stopIfTrue="1" operator="equal">
      <formula>"X"</formula>
    </cfRule>
  </conditionalFormatting>
  <conditionalFormatting sqref="AN8:AO14 AN3:AO5">
    <cfRule type="cellIs" dxfId="211" priority="66" stopIfTrue="1" operator="greaterThan">
      <formula>0</formula>
    </cfRule>
  </conditionalFormatting>
  <conditionalFormatting sqref="AN8:AO14 AN3:AO5">
    <cfRule type="cellIs" dxfId="210" priority="64" stopIfTrue="1" operator="equal">
      <formula>"PO"</formula>
    </cfRule>
    <cfRule type="cellIs" dxfId="209" priority="65" stopIfTrue="1" operator="equal">
      <formula>"ip"</formula>
    </cfRule>
  </conditionalFormatting>
  <conditionalFormatting sqref="AN6:AO7">
    <cfRule type="cellIs" dxfId="208" priority="59" stopIfTrue="1" operator="equal">
      <formula>"X"</formula>
    </cfRule>
  </conditionalFormatting>
  <conditionalFormatting sqref="AN6:AO7">
    <cfRule type="cellIs" dxfId="207" priority="62" stopIfTrue="1" operator="greaterThan">
      <formula>0</formula>
    </cfRule>
  </conditionalFormatting>
  <conditionalFormatting sqref="AN6:AO7">
    <cfRule type="cellIs" dxfId="206" priority="60" stopIfTrue="1" operator="equal">
      <formula>"PO"</formula>
    </cfRule>
    <cfRule type="cellIs" dxfId="205" priority="61" stopIfTrue="1" operator="equal">
      <formula>"ip"</formula>
    </cfRule>
  </conditionalFormatting>
  <conditionalFormatting sqref="AE30">
    <cfRule type="cellIs" dxfId="204" priority="55" stopIfTrue="1" operator="equal">
      <formula>0</formula>
    </cfRule>
  </conditionalFormatting>
  <conditionalFormatting sqref="AE30">
    <cfRule type="cellIs" dxfId="203" priority="56" stopIfTrue="1" operator="greaterThan">
      <formula>0</formula>
    </cfRule>
  </conditionalFormatting>
  <conditionalFormatting sqref="AX3:AY14">
    <cfRule type="cellIs" dxfId="202" priority="51" stopIfTrue="1" operator="equal">
      <formula>"X"</formula>
    </cfRule>
  </conditionalFormatting>
  <conditionalFormatting sqref="AX3:AY14">
    <cfRule type="cellIs" dxfId="201" priority="54" stopIfTrue="1" operator="greaterThan">
      <formula>0</formula>
    </cfRule>
  </conditionalFormatting>
  <conditionalFormatting sqref="AX3:AY14">
    <cfRule type="cellIs" dxfId="200" priority="52" stopIfTrue="1" operator="equal">
      <formula>"PO"</formula>
    </cfRule>
    <cfRule type="cellIs" dxfId="199" priority="53" stopIfTrue="1" operator="equal">
      <formula>"ip"</formula>
    </cfRule>
  </conditionalFormatting>
  <conditionalFormatting sqref="AO30">
    <cfRule type="cellIs" dxfId="198" priority="49" stopIfTrue="1" operator="equal">
      <formula>0</formula>
    </cfRule>
  </conditionalFormatting>
  <conditionalFormatting sqref="AO30">
    <cfRule type="cellIs" dxfId="197" priority="50" stopIfTrue="1" operator="greaterThan">
      <formula>0</formula>
    </cfRule>
  </conditionalFormatting>
  <conditionalFormatting sqref="F30">
    <cfRule type="cellIs" dxfId="196" priority="48" stopIfTrue="1" operator="greaterThan">
      <formula>0</formula>
    </cfRule>
  </conditionalFormatting>
  <conditionalFormatting sqref="F30">
    <cfRule type="cellIs" dxfId="195" priority="47" stopIfTrue="1" operator="equal">
      <formula>0</formula>
    </cfRule>
  </conditionalFormatting>
  <conditionalFormatting sqref="AT17:AU25">
    <cfRule type="cellIs" dxfId="194" priority="16" stopIfTrue="1" operator="greaterThan">
      <formula>0</formula>
    </cfRule>
  </conditionalFormatting>
  <conditionalFormatting sqref="BD3:BE14">
    <cfRule type="cellIs" dxfId="193" priority="21" stopIfTrue="1" operator="equal">
      <formula>"X"</formula>
    </cfRule>
  </conditionalFormatting>
  <conditionalFormatting sqref="BD3:BE14">
    <cfRule type="cellIs" dxfId="192" priority="24" stopIfTrue="1" operator="greaterThan">
      <formula>0</formula>
    </cfRule>
  </conditionalFormatting>
  <conditionalFormatting sqref="BD3:BE14">
    <cfRule type="cellIs" dxfId="191" priority="22" stopIfTrue="1" operator="equal">
      <formula>"PO"</formula>
    </cfRule>
    <cfRule type="cellIs" dxfId="190" priority="23" stopIfTrue="1" operator="equal">
      <formula>"ip"</formula>
    </cfRule>
  </conditionalFormatting>
  <conditionalFormatting sqref="AT17:AU25">
    <cfRule type="cellIs" dxfId="189" priority="13" stopIfTrue="1" operator="equal">
      <formula>"X"</formula>
    </cfRule>
  </conditionalFormatting>
  <conditionalFormatting sqref="AT17:AU25">
    <cfRule type="cellIs" dxfId="188" priority="14" stopIfTrue="1" operator="equal">
      <formula>"PO"</formula>
    </cfRule>
    <cfRule type="cellIs" dxfId="187" priority="15" stopIfTrue="1" operator="equal">
      <formula>"ip"</formula>
    </cfRule>
  </conditionalFormatting>
  <conditionalFormatting sqref="BD17:BE25">
    <cfRule type="cellIs" dxfId="186" priority="9" stopIfTrue="1" operator="equal">
      <formula>"X"</formula>
    </cfRule>
  </conditionalFormatting>
  <conditionalFormatting sqref="BD17:BE25">
    <cfRule type="cellIs" dxfId="185" priority="12" stopIfTrue="1" operator="greaterThan">
      <formula>0</formula>
    </cfRule>
  </conditionalFormatting>
  <conditionalFormatting sqref="BD17:BE25">
    <cfRule type="cellIs" dxfId="184" priority="10" stopIfTrue="1" operator="equal">
      <formula>"PO"</formula>
    </cfRule>
    <cfRule type="cellIs" dxfId="183" priority="11" stopIfTrue="1" operator="equal">
      <formula>"ip"</formula>
    </cfRule>
  </conditionalFormatting>
  <conditionalFormatting sqref="AT30">
    <cfRule type="cellIs" dxfId="182" priority="8" stopIfTrue="1" operator="greaterThan">
      <formula>0</formula>
    </cfRule>
  </conditionalFormatting>
  <conditionalFormatting sqref="AT30">
    <cfRule type="cellIs" dxfId="181" priority="7" stopIfTrue="1" operator="equal">
      <formula>0</formula>
    </cfRule>
  </conditionalFormatting>
  <conditionalFormatting sqref="AV30">
    <cfRule type="cellIs" dxfId="180" priority="5" stopIfTrue="1" operator="equal">
      <formula>0</formula>
    </cfRule>
  </conditionalFormatting>
  <conditionalFormatting sqref="AV30">
    <cfRule type="cellIs" dxfId="179" priority="6" stopIfTrue="1" operator="greaterThan">
      <formula>0</formula>
    </cfRule>
  </conditionalFormatting>
  <conditionalFormatting sqref="BB30">
    <cfRule type="cellIs" dxfId="178" priority="4" stopIfTrue="1" operator="greaterThan">
      <formula>0</formula>
    </cfRule>
  </conditionalFormatting>
  <conditionalFormatting sqref="BB30">
    <cfRule type="cellIs" dxfId="177" priority="3" stopIfTrue="1" operator="equal">
      <formula>0</formula>
    </cfRule>
  </conditionalFormatting>
  <conditionalFormatting sqref="BE30">
    <cfRule type="cellIs" dxfId="176" priority="2" stopIfTrue="1" operator="greaterThan">
      <formula>0</formula>
    </cfRule>
  </conditionalFormatting>
  <conditionalFormatting sqref="BE30">
    <cfRule type="cellIs" dxfId="175" priority="1" stopIfTrue="1" operator="equal">
      <formula>0</formula>
    </cfRule>
  </conditionalFormatting>
  <pageMargins left="0.7" right="0.7" top="0.75" bottom="0.75" header="0.3" footer="0.3"/>
  <pageSetup orientation="portrait" verticalDpi="3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clearShift">
                <anchor moveWithCells="1" sizeWithCells="1">
                  <from>
                    <xdr:col>8</xdr:col>
                    <xdr:colOff>533400</xdr:colOff>
                    <xdr:row>37</xdr:row>
                    <xdr:rowOff>381000</xdr:rowOff>
                  </from>
                  <to>
                    <xdr:col>14</xdr:col>
                    <xdr:colOff>533400</xdr:colOff>
                    <xdr:row>39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Sheet1.ClearFlags">
                <anchor moveWithCells="1" sizeWithCells="1">
                  <from>
                    <xdr:col>8</xdr:col>
                    <xdr:colOff>552450</xdr:colOff>
                    <xdr:row>36</xdr:row>
                    <xdr:rowOff>0</xdr:rowOff>
                  </from>
                  <to>
                    <xdr:col>12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etPrevSecond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etPrevThird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setPrevLas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DA65"/>
  <sheetViews>
    <sheetView showGridLines="0" zoomScale="50" zoomScaleNormal="50" workbookViewId="0">
      <selection activeCell="A3" sqref="A3:B3"/>
    </sheetView>
  </sheetViews>
  <sheetFormatPr defaultColWidth="8.7109375" defaultRowHeight="15" x14ac:dyDescent="0.25"/>
  <cols>
    <col min="1" max="49" width="8.5703125" style="18" customWidth="1"/>
    <col min="50" max="16384" width="8.7109375" style="18"/>
  </cols>
  <sheetData>
    <row r="1" spans="1:105" ht="39.950000000000003" customHeight="1" thickTop="1" thickBot="1" x14ac:dyDescent="0.3">
      <c r="A1" s="166" t="s">
        <v>0</v>
      </c>
      <c r="B1" s="106"/>
      <c r="C1" s="142" t="s">
        <v>23</v>
      </c>
      <c r="D1" s="143"/>
      <c r="E1" s="205" t="s">
        <v>24</v>
      </c>
      <c r="F1" s="213"/>
      <c r="G1" s="213"/>
      <c r="H1" s="213"/>
      <c r="I1" s="213"/>
      <c r="J1" s="214"/>
      <c r="K1" s="166" t="s">
        <v>0</v>
      </c>
      <c r="L1" s="106"/>
      <c r="M1" s="143" t="s">
        <v>23</v>
      </c>
      <c r="N1" s="106"/>
      <c r="O1" s="205" t="s">
        <v>25</v>
      </c>
      <c r="P1" s="213"/>
      <c r="Q1" s="213"/>
      <c r="R1" s="213"/>
      <c r="S1" s="213"/>
      <c r="T1" s="213"/>
      <c r="U1" s="213"/>
      <c r="V1" s="214"/>
      <c r="W1" s="220" t="s">
        <v>13</v>
      </c>
      <c r="X1" s="221"/>
      <c r="Y1" s="166" t="s">
        <v>0</v>
      </c>
      <c r="Z1" s="106"/>
      <c r="AA1" s="106" t="s">
        <v>23</v>
      </c>
      <c r="AB1" s="106"/>
      <c r="AC1" s="205" t="s">
        <v>26</v>
      </c>
      <c r="AD1" s="213"/>
      <c r="AE1" s="213"/>
      <c r="AF1" s="213"/>
      <c r="AG1" s="213"/>
      <c r="AH1" s="213"/>
      <c r="AI1" s="213"/>
      <c r="AJ1" s="166" t="s">
        <v>0</v>
      </c>
      <c r="AK1" s="106"/>
      <c r="AL1" s="106" t="s">
        <v>23</v>
      </c>
      <c r="AM1" s="106"/>
      <c r="AN1" s="222" t="s">
        <v>32</v>
      </c>
      <c r="AO1" s="223"/>
      <c r="AP1" s="211" t="s">
        <v>43</v>
      </c>
      <c r="AQ1" s="212"/>
      <c r="AR1" s="142" t="s">
        <v>44</v>
      </c>
      <c r="AS1" s="143"/>
      <c r="AT1" s="205" t="s">
        <v>28</v>
      </c>
      <c r="AU1" s="213"/>
      <c r="AV1" s="213"/>
      <c r="AW1" s="213"/>
      <c r="AX1" s="213"/>
      <c r="AY1" s="214"/>
      <c r="AZ1" s="166" t="s">
        <v>43</v>
      </c>
      <c r="BA1" s="106"/>
      <c r="BB1" s="142" t="s">
        <v>44</v>
      </c>
      <c r="BC1" s="143"/>
      <c r="BD1" s="222" t="s">
        <v>29</v>
      </c>
      <c r="BE1" s="223"/>
      <c r="BF1" s="273" t="s">
        <v>43</v>
      </c>
      <c r="BG1" s="274"/>
      <c r="BH1" s="142" t="s">
        <v>44</v>
      </c>
      <c r="BI1" s="143"/>
      <c r="BJ1" s="281" t="s">
        <v>27</v>
      </c>
      <c r="BK1" s="282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</row>
    <row r="2" spans="1:105" ht="27.95" customHeight="1" thickTop="1" thickBot="1" x14ac:dyDescent="0.5">
      <c r="A2" s="173"/>
      <c r="B2" s="174"/>
      <c r="C2" s="173"/>
      <c r="D2" s="174"/>
      <c r="E2" s="29">
        <v>79</v>
      </c>
      <c r="F2" s="29">
        <v>80</v>
      </c>
      <c r="G2" s="29">
        <v>85</v>
      </c>
      <c r="H2" s="29" t="s">
        <v>2</v>
      </c>
      <c r="I2" s="21">
        <v>41</v>
      </c>
      <c r="J2" s="20">
        <v>42</v>
      </c>
      <c r="K2" s="173"/>
      <c r="L2" s="174"/>
      <c r="M2" s="173"/>
      <c r="N2" s="174"/>
      <c r="O2" s="29">
        <v>81</v>
      </c>
      <c r="P2" s="29">
        <v>82</v>
      </c>
      <c r="Q2" s="29">
        <v>83</v>
      </c>
      <c r="R2" s="29">
        <v>84</v>
      </c>
      <c r="S2" s="29">
        <v>87</v>
      </c>
      <c r="T2" s="29">
        <v>88</v>
      </c>
      <c r="U2" s="29">
        <v>89</v>
      </c>
      <c r="V2" s="30">
        <v>90</v>
      </c>
      <c r="W2" s="224" t="s">
        <v>1</v>
      </c>
      <c r="X2" s="225"/>
      <c r="Y2" s="173"/>
      <c r="Z2" s="174"/>
      <c r="AA2" s="173"/>
      <c r="AB2" s="174"/>
      <c r="AC2" s="29">
        <v>50</v>
      </c>
      <c r="AD2" s="29">
        <v>51</v>
      </c>
      <c r="AE2" s="29">
        <v>52</v>
      </c>
      <c r="AF2" s="29">
        <v>53</v>
      </c>
      <c r="AG2" s="29">
        <v>54</v>
      </c>
      <c r="AH2" s="29">
        <v>55</v>
      </c>
      <c r="AI2" s="30" t="s">
        <v>3</v>
      </c>
      <c r="AJ2" s="173"/>
      <c r="AK2" s="174"/>
      <c r="AL2" s="173"/>
      <c r="AM2" s="174"/>
      <c r="AN2" s="228" t="s">
        <v>18</v>
      </c>
      <c r="AO2" s="229"/>
      <c r="AP2" s="173"/>
      <c r="AQ2" s="174"/>
      <c r="AR2" s="173"/>
      <c r="AS2" s="174"/>
      <c r="AT2" s="235" t="s">
        <v>20</v>
      </c>
      <c r="AU2" s="236"/>
      <c r="AV2" s="235" t="s">
        <v>21</v>
      </c>
      <c r="AW2" s="236"/>
      <c r="AX2" s="228" t="s">
        <v>5</v>
      </c>
      <c r="AY2" s="229"/>
      <c r="AZ2" s="173"/>
      <c r="BA2" s="174"/>
      <c r="BB2" s="173"/>
      <c r="BC2" s="174"/>
      <c r="BD2" s="228" t="s">
        <v>6</v>
      </c>
      <c r="BE2" s="229"/>
      <c r="BF2" s="173"/>
      <c r="BG2" s="174"/>
      <c r="BH2" s="173"/>
      <c r="BI2" s="174"/>
      <c r="BJ2" s="228" t="s">
        <v>4</v>
      </c>
      <c r="BK2" s="22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</row>
    <row r="3" spans="1:105" ht="32.25" customHeight="1" x14ac:dyDescent="0.45">
      <c r="A3" s="159"/>
      <c r="B3" s="160"/>
      <c r="C3" s="171"/>
      <c r="D3" s="172"/>
      <c r="E3" s="33"/>
      <c r="F3" s="33"/>
      <c r="G3" s="33"/>
      <c r="H3" s="33"/>
      <c r="I3" s="33"/>
      <c r="J3" s="23"/>
      <c r="K3" s="159"/>
      <c r="L3" s="160"/>
      <c r="M3" s="148"/>
      <c r="N3" s="149"/>
      <c r="O3" s="31"/>
      <c r="P3" s="31"/>
      <c r="Q3" s="31"/>
      <c r="R3" s="31"/>
      <c r="S3" s="31"/>
      <c r="T3" s="31"/>
      <c r="U3" s="31"/>
      <c r="V3" s="35"/>
      <c r="W3" s="230">
        <f>SUM(E3:J3,O3:V3,BJ3,AT3:BE3,AC3:AI3,AN3)</f>
        <v>0</v>
      </c>
      <c r="X3" s="231"/>
      <c r="Y3" s="159"/>
      <c r="Z3" s="160"/>
      <c r="AA3" s="232"/>
      <c r="AB3" s="149"/>
      <c r="AC3" s="31"/>
      <c r="AD3" s="31"/>
      <c r="AE3" s="31"/>
      <c r="AF3" s="31"/>
      <c r="AG3" s="31"/>
      <c r="AH3" s="32"/>
      <c r="AI3" s="35"/>
      <c r="AJ3" s="159"/>
      <c r="AK3" s="160"/>
      <c r="AL3" s="148"/>
      <c r="AM3" s="149"/>
      <c r="AN3" s="233"/>
      <c r="AO3" s="234"/>
      <c r="AP3" s="266"/>
      <c r="AQ3" s="267"/>
      <c r="AR3" s="268"/>
      <c r="AS3" s="268"/>
      <c r="AT3" s="264"/>
      <c r="AU3" s="264"/>
      <c r="AV3" s="237"/>
      <c r="AW3" s="237"/>
      <c r="AX3" s="238"/>
      <c r="AY3" s="239"/>
      <c r="AZ3" s="159"/>
      <c r="BA3" s="160"/>
      <c r="BB3" s="270"/>
      <c r="BC3" s="271"/>
      <c r="BD3" s="84"/>
      <c r="BE3" s="85"/>
      <c r="BF3" s="275"/>
      <c r="BG3" s="276"/>
      <c r="BH3" s="265"/>
      <c r="BI3" s="265"/>
      <c r="BJ3" s="283"/>
      <c r="BK3" s="284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</row>
    <row r="4" spans="1:105" ht="32.25" customHeight="1" thickBot="1" x14ac:dyDescent="0.5">
      <c r="A4" s="164"/>
      <c r="B4" s="165"/>
      <c r="C4" s="169"/>
      <c r="D4" s="170"/>
      <c r="E4" s="17"/>
      <c r="F4" s="1"/>
      <c r="G4" s="1"/>
      <c r="H4" s="1"/>
      <c r="I4" s="19"/>
      <c r="J4" s="16"/>
      <c r="K4" s="155"/>
      <c r="L4" s="156"/>
      <c r="M4" s="147"/>
      <c r="N4" s="110"/>
      <c r="O4" s="17"/>
      <c r="P4" s="1"/>
      <c r="Q4" s="1"/>
      <c r="R4" s="1"/>
      <c r="S4" s="1"/>
      <c r="T4" s="1"/>
      <c r="U4" s="1"/>
      <c r="V4" s="16"/>
      <c r="W4" s="157">
        <f>SUM(AN4,BJ4,AT4:BE4)</f>
        <v>0</v>
      </c>
      <c r="X4" s="158"/>
      <c r="Y4" s="155"/>
      <c r="Z4" s="156"/>
      <c r="AA4" s="109"/>
      <c r="AB4" s="110"/>
      <c r="AC4" s="17"/>
      <c r="AD4" s="1"/>
      <c r="AE4" s="1"/>
      <c r="AF4" s="1"/>
      <c r="AG4" s="1"/>
      <c r="AH4" s="36"/>
      <c r="AI4" s="37"/>
      <c r="AJ4" s="93"/>
      <c r="AK4" s="94"/>
      <c r="AL4" s="122"/>
      <c r="AM4" s="123"/>
      <c r="AN4" s="124"/>
      <c r="AO4" s="125"/>
      <c r="AP4" s="242"/>
      <c r="AQ4" s="117"/>
      <c r="AR4" s="115"/>
      <c r="AS4" s="115"/>
      <c r="AT4" s="113"/>
      <c r="AU4" s="113"/>
      <c r="AV4" s="84"/>
      <c r="AW4" s="84"/>
      <c r="AX4" s="113"/>
      <c r="AY4" s="114"/>
      <c r="AZ4" s="93"/>
      <c r="BA4" s="94"/>
      <c r="BB4" s="86"/>
      <c r="BC4" s="87"/>
      <c r="BD4" s="84"/>
      <c r="BE4" s="85"/>
      <c r="BF4" s="277"/>
      <c r="BG4" s="278"/>
      <c r="BH4" s="115"/>
      <c r="BI4" s="115"/>
      <c r="BJ4" s="84"/>
      <c r="BK4" s="85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</row>
    <row r="5" spans="1:105" ht="32.25" customHeight="1" x14ac:dyDescent="0.45">
      <c r="A5" s="167"/>
      <c r="B5" s="168"/>
      <c r="C5" s="171"/>
      <c r="D5" s="172"/>
      <c r="E5" s="33"/>
      <c r="F5" s="33"/>
      <c r="G5" s="33"/>
      <c r="H5" s="33"/>
      <c r="I5" s="33"/>
      <c r="J5" s="23"/>
      <c r="K5" s="159"/>
      <c r="L5" s="160"/>
      <c r="M5" s="148"/>
      <c r="N5" s="149"/>
      <c r="O5" s="31"/>
      <c r="P5" s="31"/>
      <c r="Q5" s="31"/>
      <c r="R5" s="31"/>
      <c r="S5" s="31"/>
      <c r="T5" s="31"/>
      <c r="U5" s="31"/>
      <c r="V5" s="35"/>
      <c r="W5" s="157">
        <f>SUM(E5:J5,O5:V5,BJ5,AT5:BE5,AC5:AI5,AN5)</f>
        <v>0</v>
      </c>
      <c r="X5" s="158"/>
      <c r="Y5" s="159"/>
      <c r="Z5" s="160"/>
      <c r="AA5" s="232"/>
      <c r="AB5" s="149"/>
      <c r="AC5" s="31"/>
      <c r="AD5" s="31"/>
      <c r="AE5" s="31"/>
      <c r="AF5" s="31"/>
      <c r="AG5" s="31"/>
      <c r="AH5" s="32"/>
      <c r="AI5" s="35"/>
      <c r="AJ5" s="93"/>
      <c r="AK5" s="94"/>
      <c r="AL5" s="122"/>
      <c r="AM5" s="123"/>
      <c r="AN5" s="124"/>
      <c r="AO5" s="125"/>
      <c r="AP5" s="242"/>
      <c r="AQ5" s="117"/>
      <c r="AR5" s="115"/>
      <c r="AS5" s="115"/>
      <c r="AT5" s="113"/>
      <c r="AU5" s="113"/>
      <c r="AV5" s="84"/>
      <c r="AW5" s="84"/>
      <c r="AX5" s="113"/>
      <c r="AY5" s="114"/>
      <c r="AZ5" s="93"/>
      <c r="BA5" s="94"/>
      <c r="BB5" s="86"/>
      <c r="BC5" s="87"/>
      <c r="BD5" s="84"/>
      <c r="BE5" s="85"/>
      <c r="BF5" s="277"/>
      <c r="BG5" s="278"/>
      <c r="BH5" s="115"/>
      <c r="BI5" s="115"/>
      <c r="BJ5" s="84"/>
      <c r="BK5" s="85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</row>
    <row r="6" spans="1:105" ht="32.25" customHeight="1" thickBot="1" x14ac:dyDescent="0.5">
      <c r="A6" s="164"/>
      <c r="B6" s="165"/>
      <c r="C6" s="169"/>
      <c r="D6" s="170"/>
      <c r="E6" s="17"/>
      <c r="F6" s="1"/>
      <c r="G6" s="1"/>
      <c r="H6" s="1"/>
      <c r="I6" s="19"/>
      <c r="J6" s="16"/>
      <c r="K6" s="155"/>
      <c r="L6" s="156"/>
      <c r="M6" s="147"/>
      <c r="N6" s="110"/>
      <c r="O6" s="17"/>
      <c r="P6" s="1"/>
      <c r="Q6" s="1"/>
      <c r="R6" s="1"/>
      <c r="S6" s="1"/>
      <c r="T6" s="1"/>
      <c r="U6" s="1"/>
      <c r="V6" s="16"/>
      <c r="W6" s="157">
        <f>SUM(AN6,AT6:BE6)</f>
        <v>0</v>
      </c>
      <c r="X6" s="158"/>
      <c r="Y6" s="155"/>
      <c r="Z6" s="156"/>
      <c r="AA6" s="109"/>
      <c r="AB6" s="110"/>
      <c r="AC6" s="17"/>
      <c r="AD6" s="1"/>
      <c r="AE6" s="1"/>
      <c r="AF6" s="1"/>
      <c r="AG6" s="1"/>
      <c r="AH6" s="36"/>
      <c r="AI6" s="37"/>
      <c r="AJ6" s="93"/>
      <c r="AK6" s="94"/>
      <c r="AL6" s="122"/>
      <c r="AM6" s="123"/>
      <c r="AN6" s="124"/>
      <c r="AO6" s="125"/>
      <c r="AP6" s="242"/>
      <c r="AQ6" s="117"/>
      <c r="AR6" s="115"/>
      <c r="AS6" s="115"/>
      <c r="AT6" s="113"/>
      <c r="AU6" s="113"/>
      <c r="AV6" s="84"/>
      <c r="AW6" s="84"/>
      <c r="AX6" s="113"/>
      <c r="AY6" s="114"/>
      <c r="AZ6" s="93"/>
      <c r="BA6" s="94"/>
      <c r="BB6" s="86"/>
      <c r="BC6" s="87"/>
      <c r="BD6" s="84"/>
      <c r="BE6" s="85"/>
      <c r="BF6" s="277"/>
      <c r="BG6" s="278"/>
      <c r="BH6" s="115"/>
      <c r="BI6" s="115"/>
      <c r="BJ6" s="84"/>
      <c r="BK6" s="85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</row>
    <row r="7" spans="1:105" ht="32.25" customHeight="1" x14ac:dyDescent="0.45">
      <c r="A7" s="167"/>
      <c r="B7" s="168"/>
      <c r="C7" s="171"/>
      <c r="D7" s="172"/>
      <c r="E7" s="33"/>
      <c r="F7" s="33"/>
      <c r="G7" s="33"/>
      <c r="H7" s="33"/>
      <c r="I7" s="33"/>
      <c r="J7" s="23"/>
      <c r="K7" s="159"/>
      <c r="L7" s="160"/>
      <c r="M7" s="148"/>
      <c r="N7" s="149"/>
      <c r="O7" s="31"/>
      <c r="P7" s="31"/>
      <c r="Q7" s="31"/>
      <c r="R7" s="31"/>
      <c r="S7" s="31"/>
      <c r="T7" s="31"/>
      <c r="U7" s="31"/>
      <c r="V7" s="35"/>
      <c r="W7" s="157">
        <f>SUM(E7:J7,O7:V7,AT7:BE7,AC7:AI7,AN7)</f>
        <v>0</v>
      </c>
      <c r="X7" s="158"/>
      <c r="Y7" s="159"/>
      <c r="Z7" s="160"/>
      <c r="AA7" s="232"/>
      <c r="AB7" s="149"/>
      <c r="AC7" s="31"/>
      <c r="AD7" s="31"/>
      <c r="AE7" s="31"/>
      <c r="AF7" s="31"/>
      <c r="AG7" s="31"/>
      <c r="AH7" s="32"/>
      <c r="AI7" s="35"/>
      <c r="AJ7" s="93"/>
      <c r="AK7" s="94"/>
      <c r="AL7" s="122"/>
      <c r="AM7" s="123"/>
      <c r="AN7" s="124"/>
      <c r="AO7" s="125"/>
      <c r="AP7" s="242"/>
      <c r="AQ7" s="117"/>
      <c r="AR7" s="115"/>
      <c r="AS7" s="115"/>
      <c r="AT7" s="113"/>
      <c r="AU7" s="113"/>
      <c r="AV7" s="84"/>
      <c r="AW7" s="84"/>
      <c r="AX7" s="113"/>
      <c r="AY7" s="114"/>
      <c r="AZ7" s="93"/>
      <c r="BA7" s="94"/>
      <c r="BB7" s="86"/>
      <c r="BC7" s="87"/>
      <c r="BD7" s="84"/>
      <c r="BE7" s="85"/>
      <c r="BF7" s="277"/>
      <c r="BG7" s="278"/>
      <c r="BH7" s="115"/>
      <c r="BI7" s="115"/>
      <c r="BJ7" s="84"/>
      <c r="BK7" s="85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</row>
    <row r="8" spans="1:105" ht="32.25" customHeight="1" thickBot="1" x14ac:dyDescent="0.5">
      <c r="A8" s="164"/>
      <c r="B8" s="165"/>
      <c r="C8" s="169"/>
      <c r="D8" s="170"/>
      <c r="E8" s="17"/>
      <c r="F8" s="1"/>
      <c r="G8" s="1"/>
      <c r="H8" s="1"/>
      <c r="I8" s="19"/>
      <c r="J8" s="16"/>
      <c r="K8" s="155"/>
      <c r="L8" s="156"/>
      <c r="M8" s="147"/>
      <c r="N8" s="110"/>
      <c r="O8" s="17"/>
      <c r="P8" s="1"/>
      <c r="Q8" s="1"/>
      <c r="R8" s="1"/>
      <c r="S8" s="1"/>
      <c r="T8" s="1"/>
      <c r="U8" s="1"/>
      <c r="V8" s="16"/>
      <c r="W8" s="157">
        <f>SUM(AN8,AT8:AY8,BD8,BJ8)</f>
        <v>0</v>
      </c>
      <c r="X8" s="158"/>
      <c r="Y8" s="155"/>
      <c r="Z8" s="156"/>
      <c r="AA8" s="109"/>
      <c r="AB8" s="110"/>
      <c r="AC8" s="17"/>
      <c r="AD8" s="1"/>
      <c r="AE8" s="1"/>
      <c r="AF8" s="1"/>
      <c r="AG8" s="1"/>
      <c r="AH8" s="36"/>
      <c r="AI8" s="37"/>
      <c r="AJ8" s="93"/>
      <c r="AK8" s="94"/>
      <c r="AL8" s="122"/>
      <c r="AM8" s="123"/>
      <c r="AN8" s="240"/>
      <c r="AO8" s="241"/>
      <c r="AP8" s="242"/>
      <c r="AQ8" s="117"/>
      <c r="AR8" s="115"/>
      <c r="AS8" s="115"/>
      <c r="AT8" s="113"/>
      <c r="AU8" s="113"/>
      <c r="AV8" s="84"/>
      <c r="AW8" s="84"/>
      <c r="AX8" s="113"/>
      <c r="AY8" s="114"/>
      <c r="AZ8" s="93"/>
      <c r="BA8" s="94"/>
      <c r="BB8" s="86"/>
      <c r="BC8" s="87"/>
      <c r="BD8" s="84"/>
      <c r="BE8" s="85"/>
      <c r="BF8" s="277"/>
      <c r="BG8" s="278"/>
      <c r="BH8" s="115"/>
      <c r="BI8" s="115"/>
      <c r="BJ8" s="84"/>
      <c r="BK8" s="85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</row>
    <row r="9" spans="1:105" ht="32.25" customHeight="1" x14ac:dyDescent="0.45">
      <c r="A9" s="167"/>
      <c r="B9" s="168"/>
      <c r="C9" s="171"/>
      <c r="D9" s="172"/>
      <c r="E9" s="33"/>
      <c r="F9" s="33"/>
      <c r="G9" s="33"/>
      <c r="H9" s="33"/>
      <c r="I9" s="33"/>
      <c r="J9" s="23"/>
      <c r="K9" s="159"/>
      <c r="L9" s="160"/>
      <c r="M9" s="148"/>
      <c r="N9" s="149"/>
      <c r="O9" s="31"/>
      <c r="P9" s="31"/>
      <c r="Q9" s="31"/>
      <c r="R9" s="31"/>
      <c r="S9" s="31"/>
      <c r="T9" s="31"/>
      <c r="U9" s="31"/>
      <c r="V9" s="35"/>
      <c r="W9" s="157">
        <f>SUM(E9:J9,O9:V9,AC9:AI9,AN9,AT9:AY9,BD9,BJ9)</f>
        <v>0</v>
      </c>
      <c r="X9" s="158"/>
      <c r="Y9" s="159"/>
      <c r="Z9" s="160"/>
      <c r="AA9" s="232"/>
      <c r="AB9" s="149"/>
      <c r="AC9" s="31"/>
      <c r="AD9" s="31"/>
      <c r="AE9" s="31"/>
      <c r="AF9" s="31"/>
      <c r="AG9" s="31"/>
      <c r="AH9" s="32"/>
      <c r="AI9" s="35"/>
      <c r="AJ9" s="93"/>
      <c r="AK9" s="94"/>
      <c r="AL9" s="122"/>
      <c r="AM9" s="123"/>
      <c r="AN9" s="124"/>
      <c r="AO9" s="125"/>
      <c r="AP9" s="242"/>
      <c r="AQ9" s="117"/>
      <c r="AR9" s="115"/>
      <c r="AS9" s="115"/>
      <c r="AT9" s="113"/>
      <c r="AU9" s="113"/>
      <c r="AV9" s="84"/>
      <c r="AW9" s="84"/>
      <c r="AX9" s="113"/>
      <c r="AY9" s="114"/>
      <c r="AZ9" s="93"/>
      <c r="BA9" s="94"/>
      <c r="BB9" s="86"/>
      <c r="BC9" s="87"/>
      <c r="BD9" s="84"/>
      <c r="BE9" s="85"/>
      <c r="BF9" s="277"/>
      <c r="BG9" s="278"/>
      <c r="BH9" s="115"/>
      <c r="BI9" s="115"/>
      <c r="BJ9" s="84"/>
      <c r="BK9" s="85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</row>
    <row r="10" spans="1:105" ht="32.25" customHeight="1" thickBot="1" x14ac:dyDescent="0.5">
      <c r="A10" s="164"/>
      <c r="B10" s="165"/>
      <c r="C10" s="169"/>
      <c r="D10" s="170"/>
      <c r="E10" s="17"/>
      <c r="F10" s="1"/>
      <c r="G10" s="1"/>
      <c r="H10" s="1"/>
      <c r="I10" s="19"/>
      <c r="J10" s="16"/>
      <c r="K10" s="155"/>
      <c r="L10" s="156"/>
      <c r="M10" s="147"/>
      <c r="N10" s="110"/>
      <c r="O10" s="17"/>
      <c r="P10" s="1"/>
      <c r="Q10" s="1"/>
      <c r="R10" s="1"/>
      <c r="S10" s="1"/>
      <c r="T10" s="1"/>
      <c r="U10" s="1"/>
      <c r="V10" s="16"/>
      <c r="W10" s="157">
        <f>SUM(AN10,AT10:AY10,BD10,BJ10)</f>
        <v>0</v>
      </c>
      <c r="X10" s="158"/>
      <c r="Y10" s="155"/>
      <c r="Z10" s="156"/>
      <c r="AA10" s="109"/>
      <c r="AB10" s="110"/>
      <c r="AC10" s="17"/>
      <c r="AD10" s="1"/>
      <c r="AE10" s="1"/>
      <c r="AF10" s="1"/>
      <c r="AG10" s="1"/>
      <c r="AH10" s="36"/>
      <c r="AI10" s="37"/>
      <c r="AJ10" s="93"/>
      <c r="AK10" s="94"/>
      <c r="AL10" s="122"/>
      <c r="AM10" s="123"/>
      <c r="AN10" s="124"/>
      <c r="AO10" s="125"/>
      <c r="AP10" s="242"/>
      <c r="AQ10" s="117"/>
      <c r="AR10" s="115"/>
      <c r="AS10" s="115"/>
      <c r="AT10" s="113"/>
      <c r="AU10" s="113"/>
      <c r="AV10" s="84"/>
      <c r="AW10" s="84"/>
      <c r="AX10" s="113"/>
      <c r="AY10" s="114"/>
      <c r="AZ10" s="93"/>
      <c r="BA10" s="94"/>
      <c r="BB10" s="86"/>
      <c r="BC10" s="87"/>
      <c r="BD10" s="84"/>
      <c r="BE10" s="85"/>
      <c r="BF10" s="277"/>
      <c r="BG10" s="278"/>
      <c r="BH10" s="115"/>
      <c r="BI10" s="115"/>
      <c r="BJ10" s="84"/>
      <c r="BK10" s="85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</row>
    <row r="11" spans="1:105" ht="32.25" customHeight="1" x14ac:dyDescent="0.45">
      <c r="A11" s="167"/>
      <c r="B11" s="168"/>
      <c r="C11" s="171"/>
      <c r="D11" s="172"/>
      <c r="E11" s="33"/>
      <c r="F11" s="33"/>
      <c r="G11" s="33"/>
      <c r="H11" s="33"/>
      <c r="I11" s="33"/>
      <c r="J11" s="23"/>
      <c r="K11" s="159"/>
      <c r="L11" s="160"/>
      <c r="M11" s="148"/>
      <c r="N11" s="149"/>
      <c r="O11" s="31"/>
      <c r="P11" s="31"/>
      <c r="Q11" s="31"/>
      <c r="R11" s="31"/>
      <c r="S11" s="31"/>
      <c r="T11" s="31"/>
      <c r="U11" s="31"/>
      <c r="V11" s="35"/>
      <c r="W11" s="157">
        <f>SUM(E11:J11,O11:V11,AC11:AI11,AN11,AT11:AY11,BD11,BJ11)</f>
        <v>0</v>
      </c>
      <c r="X11" s="158"/>
      <c r="Y11" s="159"/>
      <c r="Z11" s="160"/>
      <c r="AA11" s="232"/>
      <c r="AB11" s="149"/>
      <c r="AC11" s="31"/>
      <c r="AD11" s="31"/>
      <c r="AE11" s="31"/>
      <c r="AF11" s="31"/>
      <c r="AG11" s="31"/>
      <c r="AH11" s="32"/>
      <c r="AI11" s="35"/>
      <c r="AJ11" s="93"/>
      <c r="AK11" s="94"/>
      <c r="AL11" s="122"/>
      <c r="AM11" s="123"/>
      <c r="AN11" s="124"/>
      <c r="AO11" s="125"/>
      <c r="AP11" s="242"/>
      <c r="AQ11" s="117"/>
      <c r="AR11" s="115"/>
      <c r="AS11" s="115"/>
      <c r="AT11" s="113"/>
      <c r="AU11" s="113"/>
      <c r="AV11" s="84"/>
      <c r="AW11" s="84"/>
      <c r="AX11" s="113"/>
      <c r="AY11" s="114"/>
      <c r="AZ11" s="93"/>
      <c r="BA11" s="94"/>
      <c r="BB11" s="86"/>
      <c r="BC11" s="87"/>
      <c r="BD11" s="84"/>
      <c r="BE11" s="85"/>
      <c r="BF11" s="277"/>
      <c r="BG11" s="278"/>
      <c r="BH11" s="115"/>
      <c r="BI11" s="115"/>
      <c r="BJ11" s="84"/>
      <c r="BK11" s="85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</row>
    <row r="12" spans="1:105" ht="32.25" customHeight="1" thickBot="1" x14ac:dyDescent="0.5">
      <c r="A12" s="164"/>
      <c r="B12" s="165"/>
      <c r="C12" s="169"/>
      <c r="D12" s="170"/>
      <c r="E12" s="17"/>
      <c r="F12" s="1"/>
      <c r="G12" s="1"/>
      <c r="H12" s="1"/>
      <c r="I12" s="19"/>
      <c r="J12" s="16"/>
      <c r="K12" s="155"/>
      <c r="L12" s="156"/>
      <c r="M12" s="147"/>
      <c r="N12" s="110"/>
      <c r="O12" s="17"/>
      <c r="P12" s="1"/>
      <c r="Q12" s="1"/>
      <c r="R12" s="1"/>
      <c r="S12" s="1"/>
      <c r="T12" s="1"/>
      <c r="U12" s="1"/>
      <c r="V12" s="16"/>
      <c r="W12" s="157">
        <f>SUM(AN12,AT12:AY12,BD12,BJ12)</f>
        <v>0</v>
      </c>
      <c r="X12" s="158"/>
      <c r="Y12" s="155"/>
      <c r="Z12" s="156"/>
      <c r="AA12" s="109"/>
      <c r="AB12" s="110"/>
      <c r="AC12" s="17"/>
      <c r="AD12" s="1"/>
      <c r="AE12" s="1"/>
      <c r="AF12" s="1"/>
      <c r="AG12" s="1"/>
      <c r="AH12" s="36"/>
      <c r="AI12" s="37"/>
      <c r="AJ12" s="93"/>
      <c r="AK12" s="94"/>
      <c r="AL12" s="122"/>
      <c r="AM12" s="123"/>
      <c r="AN12" s="124"/>
      <c r="AO12" s="125"/>
      <c r="AP12" s="242"/>
      <c r="AQ12" s="117"/>
      <c r="AR12" s="115"/>
      <c r="AS12" s="115"/>
      <c r="AT12" s="113"/>
      <c r="AU12" s="113"/>
      <c r="AV12" s="84"/>
      <c r="AW12" s="84"/>
      <c r="AX12" s="113"/>
      <c r="AY12" s="114"/>
      <c r="AZ12" s="93"/>
      <c r="BA12" s="94"/>
      <c r="BB12" s="86"/>
      <c r="BC12" s="87"/>
      <c r="BD12" s="84"/>
      <c r="BE12" s="85"/>
      <c r="BF12" s="277"/>
      <c r="BG12" s="278"/>
      <c r="BH12" s="115"/>
      <c r="BI12" s="115"/>
      <c r="BJ12" s="84"/>
      <c r="BK12" s="85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</row>
    <row r="13" spans="1:105" ht="32.25" customHeight="1" x14ac:dyDescent="0.45">
      <c r="A13" s="167"/>
      <c r="B13" s="168"/>
      <c r="C13" s="171"/>
      <c r="D13" s="172"/>
      <c r="E13" s="33"/>
      <c r="F13" s="33"/>
      <c r="G13" s="33"/>
      <c r="H13" s="33"/>
      <c r="I13" s="33"/>
      <c r="J13" s="23"/>
      <c r="K13" s="159"/>
      <c r="L13" s="160"/>
      <c r="M13" s="148"/>
      <c r="N13" s="149"/>
      <c r="O13" s="31"/>
      <c r="P13" s="31"/>
      <c r="Q13" s="31"/>
      <c r="R13" s="31"/>
      <c r="S13" s="31"/>
      <c r="T13" s="31"/>
      <c r="U13" s="31"/>
      <c r="V13" s="35"/>
      <c r="W13" s="157">
        <f>SUM(E13:J13,O13:V13,AC13:AI13,AN13,AT13:AY13,BD13,BJ13)</f>
        <v>0</v>
      </c>
      <c r="X13" s="158"/>
      <c r="Y13" s="159"/>
      <c r="Z13" s="160"/>
      <c r="AA13" s="232"/>
      <c r="AB13" s="149"/>
      <c r="AC13" s="31"/>
      <c r="AD13" s="31"/>
      <c r="AE13" s="31"/>
      <c r="AF13" s="31"/>
      <c r="AG13" s="31"/>
      <c r="AH13" s="32"/>
      <c r="AI13" s="35"/>
      <c r="AJ13" s="93"/>
      <c r="AK13" s="94"/>
      <c r="AL13" s="122"/>
      <c r="AM13" s="123"/>
      <c r="AN13" s="124"/>
      <c r="AO13" s="125"/>
      <c r="AP13" s="242"/>
      <c r="AQ13" s="117"/>
      <c r="AR13" s="115"/>
      <c r="AS13" s="115"/>
      <c r="AT13" s="113"/>
      <c r="AU13" s="113"/>
      <c r="AV13" s="84"/>
      <c r="AW13" s="84"/>
      <c r="AX13" s="113"/>
      <c r="AY13" s="114"/>
      <c r="AZ13" s="93"/>
      <c r="BA13" s="94"/>
      <c r="BB13" s="86"/>
      <c r="BC13" s="87"/>
      <c r="BD13" s="84"/>
      <c r="BE13" s="85"/>
      <c r="BF13" s="277"/>
      <c r="BG13" s="278"/>
      <c r="BH13" s="115"/>
      <c r="BI13" s="115"/>
      <c r="BJ13" s="84"/>
      <c r="BK13" s="85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</row>
    <row r="14" spans="1:105" ht="32.25" customHeight="1" thickBot="1" x14ac:dyDescent="0.5">
      <c r="A14" s="164"/>
      <c r="B14" s="165"/>
      <c r="C14" s="169"/>
      <c r="D14" s="170"/>
      <c r="E14" s="17"/>
      <c r="F14" s="1"/>
      <c r="G14" s="1"/>
      <c r="H14" s="1"/>
      <c r="I14" s="19"/>
      <c r="J14" s="16"/>
      <c r="K14" s="155"/>
      <c r="L14" s="156"/>
      <c r="M14" s="147"/>
      <c r="N14" s="110"/>
      <c r="O14" s="17"/>
      <c r="P14" s="1"/>
      <c r="Q14" s="1"/>
      <c r="R14" s="1"/>
      <c r="S14" s="1"/>
      <c r="T14" s="1"/>
      <c r="U14" s="1"/>
      <c r="V14" s="16"/>
      <c r="W14" s="157">
        <f>SUM(AN14,AT14:AY14,BD14,BJ14)</f>
        <v>0</v>
      </c>
      <c r="X14" s="158"/>
      <c r="Y14" s="155"/>
      <c r="Z14" s="156"/>
      <c r="AA14" s="109"/>
      <c r="AB14" s="110"/>
      <c r="AC14" s="17"/>
      <c r="AD14" s="1"/>
      <c r="AE14" s="1"/>
      <c r="AF14" s="1"/>
      <c r="AG14" s="1"/>
      <c r="AH14" s="36"/>
      <c r="AI14" s="37"/>
      <c r="AJ14" s="101"/>
      <c r="AK14" s="102"/>
      <c r="AL14" s="126"/>
      <c r="AM14" s="127"/>
      <c r="AN14" s="128"/>
      <c r="AO14" s="129"/>
      <c r="AP14" s="269"/>
      <c r="AQ14" s="121"/>
      <c r="AR14" s="92"/>
      <c r="AS14" s="92"/>
      <c r="AT14" s="95"/>
      <c r="AU14" s="95"/>
      <c r="AV14" s="90"/>
      <c r="AW14" s="90"/>
      <c r="AX14" s="95"/>
      <c r="AY14" s="96"/>
      <c r="AZ14" s="101"/>
      <c r="BA14" s="102"/>
      <c r="BB14" s="88"/>
      <c r="BC14" s="89"/>
      <c r="BD14" s="90"/>
      <c r="BE14" s="91"/>
      <c r="BF14" s="279"/>
      <c r="BG14" s="280"/>
      <c r="BH14" s="92"/>
      <c r="BI14" s="92"/>
      <c r="BJ14" s="90"/>
      <c r="BK14" s="91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</row>
    <row r="15" spans="1:105" ht="32.25" customHeight="1" thickTop="1" thickBot="1" x14ac:dyDescent="0.3">
      <c r="A15" s="167"/>
      <c r="B15" s="168"/>
      <c r="C15" s="171"/>
      <c r="D15" s="172"/>
      <c r="E15" s="33"/>
      <c r="F15" s="33"/>
      <c r="G15" s="33"/>
      <c r="H15" s="33"/>
      <c r="I15" s="33"/>
      <c r="J15" s="23"/>
      <c r="K15" s="159"/>
      <c r="L15" s="160"/>
      <c r="M15" s="148"/>
      <c r="N15" s="149"/>
      <c r="O15" s="31"/>
      <c r="P15" s="31"/>
      <c r="Q15" s="31"/>
      <c r="R15" s="31"/>
      <c r="S15" s="31"/>
      <c r="T15" s="31"/>
      <c r="U15" s="31"/>
      <c r="V15" s="35"/>
      <c r="W15" s="157">
        <f>SUM(E15:J15,O15:V15,AC15:AI15)</f>
        <v>0</v>
      </c>
      <c r="X15" s="158"/>
      <c r="Y15" s="159"/>
      <c r="Z15" s="160"/>
      <c r="AA15" s="232"/>
      <c r="AB15" s="149"/>
      <c r="AC15" s="31"/>
      <c r="AD15" s="31"/>
      <c r="AE15" s="31"/>
      <c r="AF15" s="31"/>
      <c r="AG15" s="31"/>
      <c r="AH15" s="32"/>
      <c r="AI15" s="35"/>
      <c r="AJ15" s="166" t="s">
        <v>43</v>
      </c>
      <c r="AK15" s="106"/>
      <c r="AL15" s="142" t="s">
        <v>44</v>
      </c>
      <c r="AM15" s="143"/>
      <c r="AN15" s="205" t="s">
        <v>30</v>
      </c>
      <c r="AO15" s="214"/>
      <c r="AP15" s="166" t="s">
        <v>43</v>
      </c>
      <c r="AQ15" s="106"/>
      <c r="AR15" s="142" t="s">
        <v>44</v>
      </c>
      <c r="AS15" s="143"/>
      <c r="AT15" s="205" t="s">
        <v>31</v>
      </c>
      <c r="AU15" s="213"/>
      <c r="AV15" s="213"/>
      <c r="AW15" s="214"/>
      <c r="AX15" s="8"/>
      <c r="AY15" s="8"/>
      <c r="AZ15" s="166" t="s">
        <v>43</v>
      </c>
      <c r="BA15" s="106"/>
      <c r="BB15" s="142" t="s">
        <v>44</v>
      </c>
      <c r="BC15" s="143"/>
      <c r="BD15" s="211" t="s">
        <v>35</v>
      </c>
      <c r="BE15" s="214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</row>
    <row r="16" spans="1:105" ht="32.25" customHeight="1" thickBot="1" x14ac:dyDescent="0.5">
      <c r="A16" s="164"/>
      <c r="B16" s="165"/>
      <c r="C16" s="169"/>
      <c r="D16" s="170"/>
      <c r="E16" s="17"/>
      <c r="F16" s="1"/>
      <c r="G16" s="1"/>
      <c r="H16" s="1"/>
      <c r="I16" s="19"/>
      <c r="J16" s="16"/>
      <c r="K16" s="155"/>
      <c r="L16" s="156"/>
      <c r="M16" s="147"/>
      <c r="N16" s="110"/>
      <c r="O16" s="17"/>
      <c r="P16" s="1"/>
      <c r="Q16" s="1"/>
      <c r="R16" s="1"/>
      <c r="S16" s="1"/>
      <c r="T16" s="1"/>
      <c r="U16" s="1"/>
      <c r="V16" s="16"/>
      <c r="W16" s="153"/>
      <c r="X16" s="154"/>
      <c r="Y16" s="155"/>
      <c r="Z16" s="156"/>
      <c r="AA16" s="109"/>
      <c r="AB16" s="110"/>
      <c r="AC16" s="17"/>
      <c r="AD16" s="1"/>
      <c r="AE16" s="1"/>
      <c r="AF16" s="1"/>
      <c r="AG16" s="1"/>
      <c r="AH16" s="36"/>
      <c r="AI16" s="37"/>
      <c r="AJ16" s="173"/>
      <c r="AK16" s="174"/>
      <c r="AL16" s="173"/>
      <c r="AM16" s="174"/>
      <c r="AN16" s="247" t="s">
        <v>7</v>
      </c>
      <c r="AO16" s="248"/>
      <c r="AP16" s="173"/>
      <c r="AQ16" s="174"/>
      <c r="AR16" s="173"/>
      <c r="AS16" s="174"/>
      <c r="AT16" s="291" t="s">
        <v>34</v>
      </c>
      <c r="AU16" s="292"/>
      <c r="AV16" s="140" t="s">
        <v>33</v>
      </c>
      <c r="AW16" s="141"/>
      <c r="AX16" s="8"/>
      <c r="AY16" s="8"/>
      <c r="AZ16" s="173"/>
      <c r="BA16" s="174"/>
      <c r="BB16" s="173"/>
      <c r="BC16" s="174"/>
      <c r="BD16" s="228" t="s">
        <v>36</v>
      </c>
      <c r="BE16" s="229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</row>
    <row r="17" spans="1:105" ht="32.25" customHeight="1" x14ac:dyDescent="0.45">
      <c r="A17" s="167"/>
      <c r="B17" s="168"/>
      <c r="C17" s="171"/>
      <c r="D17" s="172"/>
      <c r="E17" s="33"/>
      <c r="F17" s="33"/>
      <c r="G17" s="33"/>
      <c r="H17" s="33"/>
      <c r="I17" s="33"/>
      <c r="J17" s="23"/>
      <c r="K17" s="159"/>
      <c r="L17" s="160"/>
      <c r="M17" s="148"/>
      <c r="N17" s="149"/>
      <c r="O17" s="31"/>
      <c r="P17" s="31"/>
      <c r="Q17" s="31"/>
      <c r="R17" s="31"/>
      <c r="S17" s="31"/>
      <c r="T17" s="31"/>
      <c r="U17" s="31"/>
      <c r="V17" s="35"/>
      <c r="W17" s="157">
        <f>SUM(E17:J17,O17:V17,AC17:AI17,AN17,AT17:AW17,BD17)</f>
        <v>0</v>
      </c>
      <c r="X17" s="158"/>
      <c r="Y17" s="159"/>
      <c r="Z17" s="160"/>
      <c r="AA17" s="232"/>
      <c r="AB17" s="149"/>
      <c r="AC17" s="31"/>
      <c r="AD17" s="31"/>
      <c r="AE17" s="31"/>
      <c r="AF17" s="31"/>
      <c r="AG17" s="31"/>
      <c r="AH17" s="32"/>
      <c r="AI17" s="35"/>
      <c r="AJ17" s="131"/>
      <c r="AK17" s="132"/>
      <c r="AL17" s="82"/>
      <c r="AM17" s="83"/>
      <c r="AN17" s="243"/>
      <c r="AO17" s="244"/>
      <c r="AP17" s="249"/>
      <c r="AQ17" s="250"/>
      <c r="AR17" s="265"/>
      <c r="AS17" s="265"/>
      <c r="AT17" s="113"/>
      <c r="AU17" s="113"/>
      <c r="AV17" s="113"/>
      <c r="AW17" s="114"/>
      <c r="AX17" s="8"/>
      <c r="AY17" s="8"/>
      <c r="AZ17" s="131"/>
      <c r="BA17" s="132"/>
      <c r="BB17" s="82"/>
      <c r="BC17" s="83"/>
      <c r="BD17" s="84"/>
      <c r="BE17" s="85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</row>
    <row r="18" spans="1:105" ht="32.25" customHeight="1" thickBot="1" x14ac:dyDescent="0.5">
      <c r="A18" s="164"/>
      <c r="B18" s="165"/>
      <c r="C18" s="169"/>
      <c r="D18" s="170"/>
      <c r="E18" s="17"/>
      <c r="F18" s="1"/>
      <c r="G18" s="1"/>
      <c r="H18" s="1"/>
      <c r="I18" s="19"/>
      <c r="J18" s="16"/>
      <c r="K18" s="155"/>
      <c r="L18" s="156"/>
      <c r="M18" s="147"/>
      <c r="N18" s="110"/>
      <c r="O18" s="17"/>
      <c r="P18" s="1"/>
      <c r="Q18" s="1"/>
      <c r="R18" s="1"/>
      <c r="S18" s="1"/>
      <c r="T18" s="1"/>
      <c r="U18" s="1"/>
      <c r="V18" s="16"/>
      <c r="W18" s="157">
        <f>SUM(AN18,AT18,AV18,BD18)</f>
        <v>0</v>
      </c>
      <c r="X18" s="158"/>
      <c r="Y18" s="155"/>
      <c r="Z18" s="156"/>
      <c r="AA18" s="109"/>
      <c r="AB18" s="110"/>
      <c r="AC18" s="17"/>
      <c r="AD18" s="1"/>
      <c r="AE18" s="1"/>
      <c r="AF18" s="1"/>
      <c r="AG18" s="1"/>
      <c r="AH18" s="36"/>
      <c r="AI18" s="37"/>
      <c r="AJ18" s="93"/>
      <c r="AK18" s="94"/>
      <c r="AL18" s="86"/>
      <c r="AM18" s="87"/>
      <c r="AN18" s="245"/>
      <c r="AO18" s="246"/>
      <c r="AP18" s="116"/>
      <c r="AQ18" s="117"/>
      <c r="AR18" s="115"/>
      <c r="AS18" s="115"/>
      <c r="AT18" s="113"/>
      <c r="AU18" s="113"/>
      <c r="AV18" s="113"/>
      <c r="AW18" s="114"/>
      <c r="AX18" s="8"/>
      <c r="AY18" s="8"/>
      <c r="AZ18" s="93"/>
      <c r="BA18" s="94"/>
      <c r="BB18" s="86"/>
      <c r="BC18" s="87"/>
      <c r="BD18" s="84"/>
      <c r="BE18" s="85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</row>
    <row r="19" spans="1:105" ht="32.25" customHeight="1" x14ac:dyDescent="0.45">
      <c r="A19" s="167"/>
      <c r="B19" s="168"/>
      <c r="C19" s="171"/>
      <c r="D19" s="172"/>
      <c r="E19" s="33"/>
      <c r="F19" s="33"/>
      <c r="G19" s="33"/>
      <c r="H19" s="33"/>
      <c r="I19" s="33"/>
      <c r="J19" s="23"/>
      <c r="K19" s="159"/>
      <c r="L19" s="160"/>
      <c r="M19" s="148"/>
      <c r="N19" s="149"/>
      <c r="O19" s="31"/>
      <c r="P19" s="31"/>
      <c r="Q19" s="31"/>
      <c r="R19" s="31"/>
      <c r="S19" s="31"/>
      <c r="T19" s="31"/>
      <c r="U19" s="31"/>
      <c r="V19" s="35"/>
      <c r="W19" s="157">
        <f>SUM(E19:J19,O19:V19,AC19:AI19,AN19,AT19:AW19,BD19)</f>
        <v>0</v>
      </c>
      <c r="X19" s="158"/>
      <c r="Y19" s="159"/>
      <c r="Z19" s="160"/>
      <c r="AA19" s="232"/>
      <c r="AB19" s="149"/>
      <c r="AC19" s="31"/>
      <c r="AD19" s="31"/>
      <c r="AE19" s="31"/>
      <c r="AF19" s="31"/>
      <c r="AG19" s="31"/>
      <c r="AH19" s="32"/>
      <c r="AI19" s="35"/>
      <c r="AJ19" s="93"/>
      <c r="AK19" s="94"/>
      <c r="AL19" s="86"/>
      <c r="AM19" s="87"/>
      <c r="AN19" s="245"/>
      <c r="AO19" s="246"/>
      <c r="AP19" s="116"/>
      <c r="AQ19" s="117"/>
      <c r="AR19" s="115"/>
      <c r="AS19" s="115"/>
      <c r="AT19" s="113"/>
      <c r="AU19" s="113"/>
      <c r="AV19" s="113"/>
      <c r="AW19" s="114"/>
      <c r="AX19" s="8"/>
      <c r="AY19" s="8"/>
      <c r="AZ19" s="93"/>
      <c r="BA19" s="94"/>
      <c r="BB19" s="86"/>
      <c r="BC19" s="87"/>
      <c r="BD19" s="84"/>
      <c r="BE19" s="85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</row>
    <row r="20" spans="1:105" ht="32.25" customHeight="1" thickBot="1" x14ac:dyDescent="0.5">
      <c r="A20" s="164"/>
      <c r="B20" s="165"/>
      <c r="C20" s="169"/>
      <c r="D20" s="170"/>
      <c r="E20" s="17"/>
      <c r="F20" s="1"/>
      <c r="G20" s="1"/>
      <c r="H20" s="1"/>
      <c r="I20" s="19"/>
      <c r="J20" s="16"/>
      <c r="K20" s="155"/>
      <c r="L20" s="156"/>
      <c r="M20" s="147"/>
      <c r="N20" s="110"/>
      <c r="O20" s="17"/>
      <c r="P20" s="1"/>
      <c r="Q20" s="1"/>
      <c r="R20" s="1"/>
      <c r="S20" s="1"/>
      <c r="T20" s="1"/>
      <c r="U20" s="1"/>
      <c r="V20" s="16"/>
      <c r="W20" s="157">
        <f>SUM(AN20,AT20,AV20,BD20)</f>
        <v>0</v>
      </c>
      <c r="X20" s="158"/>
      <c r="Y20" s="155"/>
      <c r="Z20" s="156"/>
      <c r="AA20" s="109"/>
      <c r="AB20" s="110"/>
      <c r="AC20" s="17"/>
      <c r="AD20" s="1"/>
      <c r="AE20" s="1"/>
      <c r="AF20" s="1"/>
      <c r="AG20" s="1"/>
      <c r="AH20" s="36"/>
      <c r="AI20" s="37"/>
      <c r="AJ20" s="93"/>
      <c r="AK20" s="94"/>
      <c r="AL20" s="86"/>
      <c r="AM20" s="87"/>
      <c r="AN20" s="245"/>
      <c r="AO20" s="246"/>
      <c r="AP20" s="116"/>
      <c r="AQ20" s="117"/>
      <c r="AR20" s="115"/>
      <c r="AS20" s="115"/>
      <c r="AT20" s="113"/>
      <c r="AU20" s="113"/>
      <c r="AV20" s="113"/>
      <c r="AW20" s="114"/>
      <c r="AX20" s="8"/>
      <c r="AY20" s="8"/>
      <c r="AZ20" s="93"/>
      <c r="BA20" s="94"/>
      <c r="BB20" s="86"/>
      <c r="BC20" s="87"/>
      <c r="BD20" s="84"/>
      <c r="BE20" s="85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ht="32.25" customHeight="1" x14ac:dyDescent="0.45">
      <c r="A21" s="167"/>
      <c r="B21" s="168"/>
      <c r="C21" s="171"/>
      <c r="D21" s="172"/>
      <c r="E21" s="33"/>
      <c r="F21" s="33"/>
      <c r="G21" s="33"/>
      <c r="H21" s="33"/>
      <c r="I21" s="33"/>
      <c r="J21" s="23"/>
      <c r="K21" s="159"/>
      <c r="L21" s="160"/>
      <c r="M21" s="148"/>
      <c r="N21" s="149"/>
      <c r="O21" s="31"/>
      <c r="P21" s="31"/>
      <c r="Q21" s="31"/>
      <c r="R21" s="31"/>
      <c r="S21" s="31"/>
      <c r="T21" s="31"/>
      <c r="U21" s="31"/>
      <c r="V21" s="35"/>
      <c r="W21" s="157">
        <f>SUM(E21:J21,O21:V21,AC21:AI21,AN21,AT21:AW21,BD21)</f>
        <v>0</v>
      </c>
      <c r="X21" s="158"/>
      <c r="Y21" s="159"/>
      <c r="Z21" s="160"/>
      <c r="AA21" s="232"/>
      <c r="AB21" s="149"/>
      <c r="AC21" s="31"/>
      <c r="AD21" s="31"/>
      <c r="AE21" s="31"/>
      <c r="AF21" s="31"/>
      <c r="AG21" s="31"/>
      <c r="AH21" s="32"/>
      <c r="AI21" s="35"/>
      <c r="AJ21" s="93"/>
      <c r="AK21" s="94"/>
      <c r="AL21" s="86"/>
      <c r="AM21" s="87"/>
      <c r="AN21" s="245"/>
      <c r="AO21" s="246"/>
      <c r="AP21" s="116"/>
      <c r="AQ21" s="117"/>
      <c r="AR21" s="115"/>
      <c r="AS21" s="115"/>
      <c r="AT21" s="113"/>
      <c r="AU21" s="113"/>
      <c r="AV21" s="113"/>
      <c r="AW21" s="114"/>
      <c r="AX21" s="8"/>
      <c r="AY21" s="8"/>
      <c r="AZ21" s="93"/>
      <c r="BA21" s="94"/>
      <c r="BB21" s="86"/>
      <c r="BC21" s="87"/>
      <c r="BD21" s="84"/>
      <c r="BE21" s="85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</row>
    <row r="22" spans="1:105" ht="32.25" customHeight="1" thickBot="1" x14ac:dyDescent="0.5">
      <c r="A22" s="164"/>
      <c r="B22" s="165"/>
      <c r="C22" s="169"/>
      <c r="D22" s="170"/>
      <c r="E22" s="17"/>
      <c r="F22" s="1"/>
      <c r="G22" s="1"/>
      <c r="H22" s="1"/>
      <c r="I22" s="19"/>
      <c r="J22" s="16"/>
      <c r="K22" s="155"/>
      <c r="L22" s="156"/>
      <c r="M22" s="147"/>
      <c r="N22" s="110"/>
      <c r="O22" s="17"/>
      <c r="P22" s="1"/>
      <c r="Q22" s="1"/>
      <c r="R22" s="1"/>
      <c r="S22" s="1"/>
      <c r="T22" s="1"/>
      <c r="U22" s="1"/>
      <c r="V22" s="16"/>
      <c r="W22" s="157">
        <f>SUM(AN22,AT22,AV22,BD22)</f>
        <v>0</v>
      </c>
      <c r="X22" s="158"/>
      <c r="Y22" s="155"/>
      <c r="Z22" s="156"/>
      <c r="AA22" s="109"/>
      <c r="AB22" s="110"/>
      <c r="AC22" s="17"/>
      <c r="AD22" s="1"/>
      <c r="AE22" s="1"/>
      <c r="AF22" s="1"/>
      <c r="AG22" s="1"/>
      <c r="AH22" s="36"/>
      <c r="AI22" s="37"/>
      <c r="AJ22" s="93"/>
      <c r="AK22" s="94"/>
      <c r="AL22" s="86"/>
      <c r="AM22" s="87"/>
      <c r="AN22" s="245"/>
      <c r="AO22" s="246"/>
      <c r="AP22" s="116"/>
      <c r="AQ22" s="117"/>
      <c r="AR22" s="115"/>
      <c r="AS22" s="115"/>
      <c r="AT22" s="113"/>
      <c r="AU22" s="113"/>
      <c r="AV22" s="113"/>
      <c r="AW22" s="114"/>
      <c r="AX22" s="8"/>
      <c r="AY22" s="8"/>
      <c r="AZ22" s="93"/>
      <c r="BA22" s="94"/>
      <c r="BB22" s="86"/>
      <c r="BC22" s="87"/>
      <c r="BD22" s="84"/>
      <c r="BE22" s="85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</row>
    <row r="23" spans="1:105" ht="32.25" customHeight="1" x14ac:dyDescent="0.45">
      <c r="A23" s="167"/>
      <c r="B23" s="168"/>
      <c r="C23" s="171"/>
      <c r="D23" s="172"/>
      <c r="E23" s="33"/>
      <c r="F23" s="33"/>
      <c r="G23" s="33"/>
      <c r="H23" s="33"/>
      <c r="I23" s="33"/>
      <c r="J23" s="23"/>
      <c r="K23" s="159"/>
      <c r="L23" s="160"/>
      <c r="M23" s="148"/>
      <c r="N23" s="149"/>
      <c r="O23" s="31"/>
      <c r="P23" s="31"/>
      <c r="Q23" s="31"/>
      <c r="R23" s="31"/>
      <c r="S23" s="31"/>
      <c r="T23" s="31"/>
      <c r="U23" s="31"/>
      <c r="V23" s="35"/>
      <c r="W23" s="157">
        <f>SUM(E23:J23,O23:V23,AC23:AI23,AN23,AT23:AW23,BD23)</f>
        <v>0</v>
      </c>
      <c r="X23" s="158"/>
      <c r="Y23" s="159"/>
      <c r="Z23" s="160"/>
      <c r="AA23" s="232"/>
      <c r="AB23" s="149"/>
      <c r="AC23" s="31"/>
      <c r="AD23" s="31"/>
      <c r="AE23" s="31"/>
      <c r="AF23" s="31"/>
      <c r="AG23" s="31"/>
      <c r="AH23" s="32"/>
      <c r="AI23" s="35"/>
      <c r="AJ23" s="93"/>
      <c r="AK23" s="94"/>
      <c r="AL23" s="86"/>
      <c r="AM23" s="87"/>
      <c r="AN23" s="245"/>
      <c r="AO23" s="246"/>
      <c r="AP23" s="116"/>
      <c r="AQ23" s="117"/>
      <c r="AR23" s="115"/>
      <c r="AS23" s="115"/>
      <c r="AT23" s="113"/>
      <c r="AU23" s="113"/>
      <c r="AV23" s="113"/>
      <c r="AW23" s="114"/>
      <c r="AX23" s="8"/>
      <c r="AY23" s="8"/>
      <c r="AZ23" s="93"/>
      <c r="BA23" s="94"/>
      <c r="BB23" s="86"/>
      <c r="BC23" s="87"/>
      <c r="BD23" s="84"/>
      <c r="BE23" s="85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</row>
    <row r="24" spans="1:105" ht="32.25" customHeight="1" thickBot="1" x14ac:dyDescent="0.5">
      <c r="A24" s="164"/>
      <c r="B24" s="165"/>
      <c r="C24" s="169"/>
      <c r="D24" s="170"/>
      <c r="E24" s="17"/>
      <c r="F24" s="1"/>
      <c r="G24" s="1"/>
      <c r="H24" s="1"/>
      <c r="I24" s="19"/>
      <c r="J24" s="16"/>
      <c r="K24" s="155"/>
      <c r="L24" s="156"/>
      <c r="M24" s="147"/>
      <c r="N24" s="110"/>
      <c r="O24" s="17"/>
      <c r="P24" s="1"/>
      <c r="Q24" s="1"/>
      <c r="R24" s="1"/>
      <c r="S24" s="1"/>
      <c r="T24" s="1"/>
      <c r="U24" s="1"/>
      <c r="V24" s="16"/>
      <c r="W24" s="157">
        <f>SUM(AN24,AT24,AV24,BD24)</f>
        <v>0</v>
      </c>
      <c r="X24" s="158"/>
      <c r="Y24" s="155"/>
      <c r="Z24" s="156"/>
      <c r="AA24" s="109"/>
      <c r="AB24" s="110"/>
      <c r="AC24" s="17"/>
      <c r="AD24" s="1"/>
      <c r="AE24" s="1"/>
      <c r="AF24" s="1"/>
      <c r="AG24" s="1"/>
      <c r="AH24" s="36"/>
      <c r="AI24" s="37"/>
      <c r="AJ24" s="93"/>
      <c r="AK24" s="94"/>
      <c r="AL24" s="86"/>
      <c r="AM24" s="87"/>
      <c r="AN24" s="245"/>
      <c r="AO24" s="246"/>
      <c r="AP24" s="116"/>
      <c r="AQ24" s="117"/>
      <c r="AR24" s="115"/>
      <c r="AS24" s="115"/>
      <c r="AT24" s="113"/>
      <c r="AU24" s="113"/>
      <c r="AV24" s="113"/>
      <c r="AW24" s="114"/>
      <c r="AX24" s="8"/>
      <c r="AY24" s="8"/>
      <c r="AZ24" s="93"/>
      <c r="BA24" s="94"/>
      <c r="BB24" s="86"/>
      <c r="BC24" s="87"/>
      <c r="BD24" s="84"/>
      <c r="BE24" s="85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</row>
    <row r="25" spans="1:105" ht="32.25" customHeight="1" thickBot="1" x14ac:dyDescent="0.5">
      <c r="A25" s="182"/>
      <c r="B25" s="183"/>
      <c r="C25" s="180"/>
      <c r="D25" s="181"/>
      <c r="E25" s="24"/>
      <c r="F25" s="24"/>
      <c r="G25" s="24"/>
      <c r="H25" s="24"/>
      <c r="I25" s="24"/>
      <c r="J25" s="25"/>
      <c r="K25" s="256"/>
      <c r="L25" s="257"/>
      <c r="M25" s="150"/>
      <c r="N25" s="151"/>
      <c r="O25" s="26"/>
      <c r="P25" s="26"/>
      <c r="Q25" s="26"/>
      <c r="R25" s="26"/>
      <c r="S25" s="26"/>
      <c r="T25" s="26"/>
      <c r="U25" s="26"/>
      <c r="V25" s="27"/>
      <c r="W25" s="254">
        <f>SUM(E25:J25,O25:V25,AC25:AI25,AN25,AT25:AW25,BD25)</f>
        <v>0</v>
      </c>
      <c r="X25" s="255"/>
      <c r="Y25" s="256"/>
      <c r="Z25" s="257"/>
      <c r="AA25" s="258"/>
      <c r="AB25" s="151"/>
      <c r="AC25" s="26"/>
      <c r="AD25" s="26"/>
      <c r="AE25" s="26"/>
      <c r="AF25" s="26"/>
      <c r="AG25" s="26"/>
      <c r="AH25" s="38"/>
      <c r="AI25" s="27"/>
      <c r="AJ25" s="101"/>
      <c r="AK25" s="102"/>
      <c r="AL25" s="88"/>
      <c r="AM25" s="89"/>
      <c r="AN25" s="259"/>
      <c r="AO25" s="260"/>
      <c r="AP25" s="120"/>
      <c r="AQ25" s="121"/>
      <c r="AR25" s="92"/>
      <c r="AS25" s="92"/>
      <c r="AT25" s="95"/>
      <c r="AU25" s="95"/>
      <c r="AV25" s="95"/>
      <c r="AW25" s="96"/>
      <c r="AX25" s="8"/>
      <c r="AY25" s="8"/>
      <c r="AZ25" s="101"/>
      <c r="BA25" s="102"/>
      <c r="BB25" s="88"/>
      <c r="BC25" s="89"/>
      <c r="BD25" s="90"/>
      <c r="BE25" s="91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</row>
    <row r="26" spans="1:105" ht="39.950000000000003" customHeight="1" thickTop="1" thickBot="1" x14ac:dyDescent="0.3">
      <c r="A26" s="206">
        <f ca="1">TODAY()</f>
        <v>44600</v>
      </c>
      <c r="B26" s="206"/>
      <c r="C26" s="206"/>
      <c r="D26" s="206"/>
      <c r="E26" s="206"/>
      <c r="F26" s="263" t="s">
        <v>40</v>
      </c>
      <c r="G26" s="263"/>
      <c r="H26" s="263"/>
      <c r="I26" s="263"/>
      <c r="J26" s="263"/>
      <c r="K26" s="6"/>
      <c r="L26" s="7"/>
      <c r="M26" s="7"/>
      <c r="N26" s="7"/>
      <c r="O26" s="7"/>
      <c r="P26" s="7"/>
      <c r="Q26" s="7"/>
      <c r="R26" s="7"/>
      <c r="S26" s="7"/>
      <c r="T26" s="261" t="s">
        <v>8</v>
      </c>
      <c r="U26" s="261"/>
      <c r="V26" s="261"/>
      <c r="W26" s="262">
        <f>SUM(W3:X25)</f>
        <v>0</v>
      </c>
      <c r="X26" s="262"/>
      <c r="Y26" s="15"/>
      <c r="Z26" s="6"/>
      <c r="AA26" s="6"/>
      <c r="AB26" s="6"/>
      <c r="AC26" s="7"/>
      <c r="AD26" s="7"/>
      <c r="AE26" s="7"/>
      <c r="AF26" s="7"/>
      <c r="AG26" s="7"/>
      <c r="AH26" s="7"/>
      <c r="AI26" s="7"/>
      <c r="AJ26" s="7"/>
      <c r="AK26" s="7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</row>
    <row r="27" spans="1:105" ht="27.95" customHeight="1" thickBot="1" x14ac:dyDescent="0.3">
      <c r="A27" s="184" t="s">
        <v>9</v>
      </c>
      <c r="B27" s="185"/>
      <c r="C27" s="185"/>
      <c r="D27" s="185"/>
      <c r="E27" s="186"/>
      <c r="F27" s="10"/>
      <c r="G27" s="6"/>
      <c r="H27" s="6"/>
      <c r="I27" s="6"/>
      <c r="J27" s="6"/>
      <c r="K27" s="6"/>
      <c r="L27" s="7"/>
      <c r="M27" s="7"/>
      <c r="N27" s="7"/>
      <c r="O27" s="7"/>
      <c r="P27" s="7"/>
      <c r="Q27" s="7"/>
      <c r="R27" s="7"/>
      <c r="S27" s="7"/>
      <c r="T27" s="7"/>
      <c r="U27" s="6"/>
      <c r="V27" s="6"/>
      <c r="W27" s="6"/>
      <c r="X27" s="6"/>
      <c r="Y27" s="6"/>
      <c r="Z27" s="6"/>
      <c r="AA27" s="7"/>
      <c r="AB27" s="7"/>
      <c r="AC27" s="7"/>
      <c r="AD27" s="7"/>
      <c r="AE27" s="7"/>
      <c r="AF27" s="7"/>
      <c r="AG27" s="7"/>
      <c r="AH27" s="7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7"/>
      <c r="AT27" s="7"/>
      <c r="AU27" s="7"/>
      <c r="AV27" s="7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6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</row>
    <row r="28" spans="1:105" ht="32.25" customHeight="1" thickTop="1" thickBot="1" x14ac:dyDescent="0.3">
      <c r="A28" s="118" t="s">
        <v>24</v>
      </c>
      <c r="B28" s="251"/>
      <c r="C28" s="251"/>
      <c r="D28" s="251"/>
      <c r="E28" s="251"/>
      <c r="F28" s="251"/>
      <c r="G28" s="251"/>
      <c r="H28" s="119"/>
      <c r="I28" s="11"/>
      <c r="J28" s="118" t="s">
        <v>25</v>
      </c>
      <c r="K28" s="251"/>
      <c r="L28" s="251"/>
      <c r="M28" s="251"/>
      <c r="N28" s="251"/>
      <c r="O28" s="251"/>
      <c r="P28" s="251"/>
      <c r="Q28" s="251"/>
      <c r="R28" s="251"/>
      <c r="S28" s="119"/>
      <c r="T28" s="11"/>
      <c r="U28" s="118" t="s">
        <v>26</v>
      </c>
      <c r="V28" s="251"/>
      <c r="W28" s="251"/>
      <c r="X28" s="251"/>
      <c r="Y28" s="251"/>
      <c r="Z28" s="251"/>
      <c r="AA28" s="251"/>
      <c r="AB28" s="251"/>
      <c r="AC28" s="119"/>
      <c r="AD28" s="8"/>
      <c r="AE28" s="118" t="s">
        <v>32</v>
      </c>
      <c r="AF28" s="119"/>
      <c r="AG28" s="8"/>
      <c r="AH28" s="118" t="s">
        <v>30</v>
      </c>
      <c r="AI28" s="119"/>
      <c r="AJ28" s="11"/>
      <c r="AK28" s="118" t="s">
        <v>28</v>
      </c>
      <c r="AL28" s="251"/>
      <c r="AM28" s="251"/>
      <c r="AN28" s="251"/>
      <c r="AO28" s="251"/>
      <c r="AP28" s="251"/>
      <c r="AQ28" s="251"/>
      <c r="AR28" s="119"/>
      <c r="AS28" s="8"/>
      <c r="AT28" s="118" t="s">
        <v>31</v>
      </c>
      <c r="AU28" s="251"/>
      <c r="AV28" s="251"/>
      <c r="AW28" s="119"/>
      <c r="AX28" s="8"/>
      <c r="AY28" s="118" t="s">
        <v>29</v>
      </c>
      <c r="AZ28" s="119"/>
      <c r="BA28" s="8"/>
      <c r="BB28" s="118" t="s">
        <v>35</v>
      </c>
      <c r="BC28" s="119"/>
      <c r="BD28" s="8"/>
      <c r="BE28" s="118" t="s">
        <v>27</v>
      </c>
      <c r="BF28" s="119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</row>
    <row r="29" spans="1:105" ht="32.25" customHeight="1" thickTop="1" thickBot="1" x14ac:dyDescent="0.3">
      <c r="A29" s="12">
        <v>79</v>
      </c>
      <c r="B29" s="13">
        <v>80</v>
      </c>
      <c r="C29" s="13">
        <v>85</v>
      </c>
      <c r="D29" s="13" t="s">
        <v>2</v>
      </c>
      <c r="E29" s="13">
        <v>41</v>
      </c>
      <c r="F29" s="13">
        <v>42</v>
      </c>
      <c r="G29" s="207" t="s">
        <v>8</v>
      </c>
      <c r="H29" s="208"/>
      <c r="I29" s="14"/>
      <c r="J29" s="12">
        <v>81</v>
      </c>
      <c r="K29" s="13">
        <v>82</v>
      </c>
      <c r="L29" s="13">
        <v>83</v>
      </c>
      <c r="M29" s="13">
        <v>84</v>
      </c>
      <c r="N29" s="13">
        <v>87</v>
      </c>
      <c r="O29" s="13">
        <v>88</v>
      </c>
      <c r="P29" s="13">
        <v>89</v>
      </c>
      <c r="Q29" s="13">
        <v>90</v>
      </c>
      <c r="R29" s="207" t="s">
        <v>8</v>
      </c>
      <c r="S29" s="208"/>
      <c r="T29" s="14"/>
      <c r="U29" s="12">
        <v>50</v>
      </c>
      <c r="V29" s="13">
        <v>51</v>
      </c>
      <c r="W29" s="13">
        <v>52</v>
      </c>
      <c r="X29" s="13">
        <v>53</v>
      </c>
      <c r="Y29" s="13">
        <v>54</v>
      </c>
      <c r="Z29" s="13">
        <v>55</v>
      </c>
      <c r="AA29" s="13" t="s">
        <v>3</v>
      </c>
      <c r="AB29" s="134" t="s">
        <v>8</v>
      </c>
      <c r="AC29" s="135"/>
      <c r="AD29" s="8"/>
      <c r="AE29" s="136" t="s">
        <v>18</v>
      </c>
      <c r="AF29" s="137"/>
      <c r="AG29" s="8"/>
      <c r="AH29" s="136" t="s">
        <v>7</v>
      </c>
      <c r="AI29" s="137"/>
      <c r="AJ29" s="14"/>
      <c r="AK29" s="136" t="s">
        <v>20</v>
      </c>
      <c r="AL29" s="252"/>
      <c r="AM29" s="253" t="s">
        <v>21</v>
      </c>
      <c r="AN29" s="252"/>
      <c r="AO29" s="253" t="s">
        <v>5</v>
      </c>
      <c r="AP29" s="252"/>
      <c r="AQ29" s="138" t="s">
        <v>8</v>
      </c>
      <c r="AR29" s="139"/>
      <c r="AS29" s="8"/>
      <c r="AT29" s="288" t="s">
        <v>34</v>
      </c>
      <c r="AU29" s="289"/>
      <c r="AV29" s="289" t="s">
        <v>33</v>
      </c>
      <c r="AW29" s="290"/>
      <c r="AX29" s="8"/>
      <c r="AY29" s="136" t="s">
        <v>6</v>
      </c>
      <c r="AZ29" s="137"/>
      <c r="BA29" s="8"/>
      <c r="BB29" s="136" t="s">
        <v>36</v>
      </c>
      <c r="BC29" s="137"/>
      <c r="BD29" s="8"/>
      <c r="BE29" s="136" t="s">
        <v>4</v>
      </c>
      <c r="BF29" s="137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</row>
    <row r="30" spans="1:105" ht="32.25" customHeight="1" thickBot="1" x14ac:dyDescent="0.3">
      <c r="A30" s="4">
        <f t="shared" ref="A30:F30" si="0">SUM(E3:E25)</f>
        <v>0</v>
      </c>
      <c r="B30" s="34">
        <f t="shared" si="0"/>
        <v>0</v>
      </c>
      <c r="C30" s="34">
        <f t="shared" si="0"/>
        <v>0</v>
      </c>
      <c r="D30" s="34">
        <f t="shared" si="0"/>
        <v>0</v>
      </c>
      <c r="E30" s="34">
        <f t="shared" si="0"/>
        <v>0</v>
      </c>
      <c r="F30" s="34">
        <f t="shared" si="0"/>
        <v>0</v>
      </c>
      <c r="G30" s="209">
        <f>SUM(A30:F30)</f>
        <v>0</v>
      </c>
      <c r="H30" s="210"/>
      <c r="I30" s="9"/>
      <c r="J30" s="28">
        <f t="shared" ref="J30:L30" si="1">SUM(O3:O25)</f>
        <v>0</v>
      </c>
      <c r="K30" s="2">
        <f t="shared" si="1"/>
        <v>0</v>
      </c>
      <c r="L30" s="2">
        <f t="shared" si="1"/>
        <v>0</v>
      </c>
      <c r="M30" s="2">
        <f>SUM(R3:R25)</f>
        <v>0</v>
      </c>
      <c r="N30" s="2">
        <f>SUM(S3:S25)</f>
        <v>0</v>
      </c>
      <c r="O30" s="2">
        <f>SUM(T3:T25)</f>
        <v>0</v>
      </c>
      <c r="P30" s="2">
        <f>SUM(U3:U25)</f>
        <v>0</v>
      </c>
      <c r="Q30" s="2">
        <f>SUM(V3:V25)</f>
        <v>0</v>
      </c>
      <c r="R30" s="130">
        <f>SUM(J30:Q30)</f>
        <v>0</v>
      </c>
      <c r="S30" s="75"/>
      <c r="T30" s="9"/>
      <c r="U30" s="5">
        <f t="shared" ref="U30:Z30" si="2">SUM(AC3:AC25)</f>
        <v>0</v>
      </c>
      <c r="V30" s="3">
        <f t="shared" si="2"/>
        <v>0</v>
      </c>
      <c r="W30" s="3">
        <f t="shared" si="2"/>
        <v>0</v>
      </c>
      <c r="X30" s="3">
        <f t="shared" si="2"/>
        <v>0</v>
      </c>
      <c r="Y30" s="3">
        <f t="shared" si="2"/>
        <v>0</v>
      </c>
      <c r="Z30" s="3">
        <f t="shared" si="2"/>
        <v>0</v>
      </c>
      <c r="AA30" s="3">
        <f>SUM(AI3:AI25)</f>
        <v>0</v>
      </c>
      <c r="AB30" s="130">
        <f>SUM(U30:AA30)</f>
        <v>0</v>
      </c>
      <c r="AC30" s="75"/>
      <c r="AD30" s="6"/>
      <c r="AE30" s="74">
        <f>SUM(AN3:AO14)</f>
        <v>0</v>
      </c>
      <c r="AF30" s="75"/>
      <c r="AG30" s="8"/>
      <c r="AH30" s="74">
        <f>SUM(AN17:AO25)</f>
        <v>0</v>
      </c>
      <c r="AI30" s="75"/>
      <c r="AJ30" s="9"/>
      <c r="AK30" s="74">
        <f>SUM(AT3:AU14)</f>
        <v>0</v>
      </c>
      <c r="AL30" s="133"/>
      <c r="AM30" s="130">
        <f>SUM(AV3:AW14)</f>
        <v>0</v>
      </c>
      <c r="AN30" s="133"/>
      <c r="AO30" s="130">
        <f>SUM(AX3:AY14)</f>
        <v>0</v>
      </c>
      <c r="AP30" s="133"/>
      <c r="AQ30" s="130">
        <f>SUM(AK30:AP30)</f>
        <v>0</v>
      </c>
      <c r="AR30" s="75"/>
      <c r="AS30" s="8"/>
      <c r="AT30" s="71">
        <f>SUM(AT17:AU25)</f>
        <v>0</v>
      </c>
      <c r="AU30" s="72"/>
      <c r="AV30" s="72">
        <f>SUM(AV17:AW25)</f>
        <v>0</v>
      </c>
      <c r="AW30" s="73"/>
      <c r="AX30" s="8"/>
      <c r="AY30" s="74">
        <f>SUM(BD3:BE14)</f>
        <v>0</v>
      </c>
      <c r="AZ30" s="75"/>
      <c r="BA30" s="8"/>
      <c r="BB30" s="74">
        <f>SUM(BD17:BE25)</f>
        <v>0</v>
      </c>
      <c r="BC30" s="75"/>
      <c r="BD30" s="8"/>
      <c r="BE30" s="74">
        <f>SUM(BJ3:BK14)</f>
        <v>0</v>
      </c>
      <c r="BF30" s="75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</row>
    <row r="31" spans="1:105" ht="9.9499999999999993" customHeight="1" thickTop="1" thickBo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7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</row>
    <row r="32" spans="1:105" ht="32.25" customHeight="1" thickTop="1" thickBot="1" x14ac:dyDescent="0.3">
      <c r="A32" s="184" t="s">
        <v>15</v>
      </c>
      <c r="B32" s="185"/>
      <c r="C32" s="185"/>
      <c r="D32" s="185"/>
      <c r="E32" s="186"/>
      <c r="F32" s="14"/>
      <c r="G32" s="14"/>
      <c r="H32" s="14"/>
      <c r="I32" s="14"/>
      <c r="J32" s="76" t="s">
        <v>17</v>
      </c>
      <c r="K32" s="77"/>
      <c r="L32" s="77"/>
      <c r="M32" s="77"/>
      <c r="N32" s="77"/>
      <c r="O32" s="77"/>
      <c r="P32" s="77"/>
      <c r="Q32" s="78"/>
      <c r="R32" s="14"/>
      <c r="S32" s="14"/>
      <c r="T32" s="14"/>
      <c r="U32" s="14"/>
      <c r="V32" s="14"/>
      <c r="W32" s="14"/>
      <c r="X32" s="14"/>
      <c r="Y32" s="14"/>
      <c r="Z32" s="14"/>
      <c r="AA32" s="8"/>
      <c r="AB32" s="8"/>
      <c r="AC32" s="8"/>
      <c r="AD32" s="8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8"/>
      <c r="AT32" s="8"/>
      <c r="AU32" s="7"/>
      <c r="AV32" s="9"/>
      <c r="AW32" s="7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</row>
    <row r="33" spans="1:105" ht="32.25" customHeight="1" thickTop="1" thickBot="1" x14ac:dyDescent="0.3">
      <c r="A33" s="189" t="s">
        <v>12</v>
      </c>
      <c r="B33" s="190"/>
      <c r="C33" s="190"/>
      <c r="D33" s="190"/>
      <c r="E33" s="190"/>
      <c r="F33" s="191"/>
      <c r="G33" s="198">
        <f>'1st Shift'!W26</f>
        <v>0</v>
      </c>
      <c r="H33" s="199"/>
      <c r="I33" s="14"/>
      <c r="J33" s="204" t="s">
        <v>16</v>
      </c>
      <c r="K33" s="205"/>
      <c r="L33" s="104">
        <v>41</v>
      </c>
      <c r="M33" s="104"/>
      <c r="N33" s="104">
        <v>24</v>
      </c>
      <c r="O33" s="104"/>
      <c r="P33" s="104">
        <v>25</v>
      </c>
      <c r="Q33" s="104"/>
      <c r="R33" s="118" t="s">
        <v>22</v>
      </c>
      <c r="S33" s="119"/>
      <c r="T33" s="104">
        <v>55</v>
      </c>
      <c r="U33" s="104"/>
      <c r="V33" s="104">
        <v>81</v>
      </c>
      <c r="W33" s="104"/>
      <c r="X33" s="104">
        <v>71</v>
      </c>
      <c r="Y33" s="104"/>
      <c r="Z33" s="104">
        <v>82</v>
      </c>
      <c r="AA33" s="104"/>
      <c r="AB33" s="104">
        <v>16</v>
      </c>
      <c r="AC33" s="104"/>
      <c r="AD33" s="104">
        <v>23</v>
      </c>
      <c r="AE33" s="104"/>
      <c r="AF33" s="7"/>
      <c r="AG33" s="76" t="s">
        <v>19</v>
      </c>
      <c r="AH33" s="77"/>
      <c r="AI33" s="77"/>
      <c r="AJ33" s="77"/>
      <c r="AK33" s="78"/>
      <c r="AL33" s="8"/>
      <c r="AM33" s="8"/>
      <c r="AN33" s="8"/>
      <c r="AO33" s="6"/>
      <c r="AP33" s="6"/>
      <c r="AQ33" s="8"/>
      <c r="AR33" s="8"/>
      <c r="AS33" s="6"/>
      <c r="AT33" s="7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</row>
    <row r="34" spans="1:105" ht="32.25" customHeight="1" thickTop="1" thickBot="1" x14ac:dyDescent="0.3">
      <c r="A34" s="192" t="s">
        <v>10</v>
      </c>
      <c r="B34" s="193"/>
      <c r="C34" s="193"/>
      <c r="D34" s="193"/>
      <c r="E34" s="193"/>
      <c r="F34" s="194"/>
      <c r="G34" s="200">
        <v>0</v>
      </c>
      <c r="H34" s="201"/>
      <c r="I34" s="14"/>
      <c r="J34" s="176" t="s">
        <v>14</v>
      </c>
      <c r="K34" s="177"/>
      <c r="L34" s="105" t="str">
        <f>IFERROR("SW"&amp;IF(COUNTIF(E3:J25,MAX(E3:J25))&gt;1,"Multi",INDEX(E2:J2,,SUMPRODUCT((E3:J25=MAX(E3:J25))*COLUMN(E3:J25))-COLUMN(E3:J25)+1)),"")</f>
        <v/>
      </c>
      <c r="M34" s="105"/>
      <c r="N34" s="105" t="str">
        <f>IFERROR("SW"&amp;IF(COUNTIF(O3:V25,MAX(O3:V25))&gt;1,"Multi",INDEX(O2:V2,,SUMPRODUCT((O3:V25=MAX(O3:V25))*COLUMN(O3:V25))-COLUMN(O3:V25)+1)),"")</f>
        <v/>
      </c>
      <c r="O34" s="105"/>
      <c r="P34" s="105" t="str">
        <f>IFERROR("SW"&amp;IF(COUNTIF(AC3:AI25,MAX(AC3:AI25))&gt;1,"Multi",INDEX(AC2:AI2,,SUMPRODUCT((AC3:AI25=MAX(AC3:AI25))*COLUMN(AC3:AI25))-COLUMN(AC3:AI25)+1)),"")</f>
        <v/>
      </c>
      <c r="Q34" s="105"/>
      <c r="R34" s="218" t="s">
        <v>18</v>
      </c>
      <c r="S34" s="219"/>
      <c r="T34" s="105" t="s">
        <v>7</v>
      </c>
      <c r="U34" s="105"/>
      <c r="V34" s="105" t="str">
        <f>IFERROR(IF(COUNTIF(AT3:AY14,MAX(AT3:AY14))&gt;1,"Multi",INDEX(AT2:AY2,,SUMPRODUCT((AT3:AY14=MAX(AT3:AY14))*COLUMN(AT3:AY14))-COLUMN(AT3:AY14)+1)),"")</f>
        <v/>
      </c>
      <c r="W34" s="105"/>
      <c r="X34" s="105" t="str">
        <f>IFERROR(IF(COUNTIF(AT17:AW25,MAX(AT17:AW25))&gt;1,"Multi",INDEX(AT16:AW16,,SUMPRODUCT((AT17:AW25=MAX(AT17:AW25))*COLUMN(AT17:AW25))-COLUMN(AT17:AW25)+1)),"")</f>
        <v/>
      </c>
      <c r="Y34" s="105"/>
      <c r="Z34" s="105" t="s">
        <v>6</v>
      </c>
      <c r="AA34" s="105"/>
      <c r="AB34" s="105" t="s">
        <v>36</v>
      </c>
      <c r="AC34" s="105"/>
      <c r="AD34" s="105" t="s">
        <v>4</v>
      </c>
      <c r="AE34" s="105"/>
      <c r="AF34" s="7"/>
      <c r="AG34" s="79">
        <f>SUM(FindRollers(E3:J25),FindRollers(O3:V25),FindRollers(AC3:AI25),FindRollers(BJ3:BK14),FindRollers(AT3:AY14),FindRollers(AN17:AO25),FindRollers(AT17:AW25),FindRollers(AN3:AO14),FindRollers(BD17:BE25),FindRollers(BD3:BE14))</f>
        <v>0</v>
      </c>
      <c r="AH34" s="80"/>
      <c r="AI34" s="80"/>
      <c r="AJ34" s="80"/>
      <c r="AK34" s="81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</row>
    <row r="35" spans="1:105" ht="32.25" customHeight="1" thickBot="1" x14ac:dyDescent="0.3">
      <c r="A35" s="195" t="s">
        <v>11</v>
      </c>
      <c r="B35" s="196"/>
      <c r="C35" s="196"/>
      <c r="D35" s="196"/>
      <c r="E35" s="196"/>
      <c r="F35" s="197"/>
      <c r="G35" s="202">
        <v>0</v>
      </c>
      <c r="H35" s="203"/>
      <c r="I35" s="14"/>
      <c r="J35" s="178" t="s">
        <v>37</v>
      </c>
      <c r="K35" s="179"/>
      <c r="L35" s="152" t="str">
        <f>IFERROR(IF(COUNTIF(E3:J25,MAX(E3:J25))&gt;1,"Multi",INDEX(C3:C25,SUMPRODUCT((E3:J25=MAX(E3:J25))*ROW(E3:J25))-ROW(E3:J25)+1)),"")</f>
        <v/>
      </c>
      <c r="M35" s="152"/>
      <c r="N35" s="152" t="str">
        <f>IFERROR(IF(COUNTIF(O3:V25,MAX(O3:V25))&gt;1,"Multi",INDEX(M3:M25,SUMPRODUCT((O3:V25=MAX(O3:V25))*ROW(O3:V25))-ROW(O3:V25)+1)),"")</f>
        <v/>
      </c>
      <c r="O35" s="152"/>
      <c r="P35" s="152" t="str">
        <f>IFERROR(IF(COUNTIF(AC3:AI25,MAX(AC3:AI25))&gt;1,"Multi",INDEX(AA3:AA25,SUMPRODUCT((AC3:AI25=MAX(AC3:AI25))*ROW(AC3:AI25))-ROW(AC3:AI25)+1)),"")</f>
        <v/>
      </c>
      <c r="Q35" s="152"/>
      <c r="R35" s="187" t="str">
        <f>IFERROR(IF(COUNTIF(AN3:AN14,MAX(AN3:AN14))&gt;1,"Multi",INDEX(AL3:AL14,SUMPRODUCT((AN3:AN14=MAX(AN3:AN14))*ROW(AN3:AN14))-ROW(AN3:AN14)+1)),"")</f>
        <v/>
      </c>
      <c r="S35" s="188"/>
      <c r="T35" s="103" t="str">
        <f>IFERROR(IF(COUNTIF(AN17:AN25,MAX(AN17:AN25))&gt;1,"Multi",INDEX(AL17:AL25,SUMPRODUCT((AN17:AN25=MAX(AN17:AN25))*ROW(AN17:AN25))-ROW(AN17:AN25)+1)),"")</f>
        <v/>
      </c>
      <c r="U35" s="103"/>
      <c r="V35" s="103" t="str">
        <f>IFERROR(IF(COUNTIF(AT3:AY14,MAX(AT3:AY14))&gt;1,"Multi",INDEX(AR3:AR14,SUMPRODUCT((AT3:AY14=MAX(AT3:AY14))*ROW(AT3:AY14))-ROW(AT3:AY14)+1)),"")</f>
        <v/>
      </c>
      <c r="W35" s="103"/>
      <c r="X35" s="103" t="str">
        <f>IFERROR(IF(COUNTIF(AT17:AW25,MAX(AT17:AW25))&gt;1,"Multi",INDEX(AR17:AR25,SUMPRODUCT((AT17:AW25=MAX(AT17:AW25))*ROW(AT17:AW25))-ROW(AT17:AW25)+1)),"")</f>
        <v/>
      </c>
      <c r="Y35" s="103"/>
      <c r="Z35" s="103" t="str">
        <f>IFERROR(IF(COUNTIF(BD3:BD14,MAX(BD3:BD14))&gt;1,"Multi",INDEX(BB3:BB14,SUMPRODUCT((BD3:BD14=MAX(BD3:BD14))*ROW(BD3:BD14))-ROW(BD3:BD14)+1)),"")</f>
        <v/>
      </c>
      <c r="AA35" s="103"/>
      <c r="AB35" s="103" t="str">
        <f>IFERROR(IF(COUNTIF(BD17:BD25,MAX(BD17:BD25))&gt;1,"Multi",INDEX(BB17:BB25,SUMPRODUCT((BD17:BD25=MAX(BD17:BD25))*ROW(BD17:BD25))-ROW(BD17:BD25)+1)),"")</f>
        <v/>
      </c>
      <c r="AC35" s="103"/>
      <c r="AD35" s="103" t="str">
        <f>IFERROR(IF(COUNTIF(BJ3:BJ14,MAX(BJ3:BJ14))&gt;1,"Multi",INDEX(BH3:BH14,SUMPRODUCT((BJ3:BJ14=MAX(BJ3:BJ14))*ROW(BJ3:BJ14))-ROW(BJ3:BJ14)+1)),"")</f>
        <v/>
      </c>
      <c r="AE35" s="103"/>
      <c r="AF35" s="7"/>
      <c r="AG35" s="7"/>
      <c r="AH35" s="7"/>
      <c r="AI35" s="6"/>
      <c r="AJ35" s="6"/>
      <c r="AK35" s="6"/>
      <c r="AL35" s="6"/>
      <c r="AM35" s="6"/>
      <c r="AN35" s="6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</row>
    <row r="36" spans="1:105" s="50" customFormat="1" ht="32.25" customHeight="1" thickTop="1" thickBot="1" x14ac:dyDescent="0.3">
      <c r="A36" s="40"/>
      <c r="B36" s="40"/>
      <c r="C36" s="40"/>
      <c r="D36" s="40"/>
      <c r="E36" s="40"/>
      <c r="F36" s="40"/>
      <c r="G36" s="39"/>
      <c r="H36" s="39"/>
      <c r="I36" s="14"/>
      <c r="J36" s="41"/>
      <c r="K36" s="41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7"/>
      <c r="AG36" s="7"/>
      <c r="AH36" s="7"/>
      <c r="AI36" s="6"/>
      <c r="AJ36" s="6"/>
      <c r="AK36" s="6"/>
      <c r="AL36" s="6"/>
      <c r="AM36" s="6"/>
      <c r="AN36" s="6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</row>
    <row r="37" spans="1:105" s="50" customFormat="1" ht="32.25" customHeight="1" thickBot="1" x14ac:dyDescent="0.3">
      <c r="A37" s="285" t="s">
        <v>38</v>
      </c>
      <c r="B37" s="286"/>
      <c r="C37" s="286"/>
      <c r="D37" s="286"/>
      <c r="E37" s="286"/>
      <c r="F37" s="286"/>
      <c r="G37" s="287"/>
      <c r="H37" s="43"/>
      <c r="I37" s="14"/>
      <c r="J37" s="41"/>
      <c r="K37" s="41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7"/>
      <c r="AG37" s="7"/>
      <c r="AH37" s="7"/>
      <c r="AI37" s="6"/>
      <c r="AJ37" s="6"/>
      <c r="AK37" s="6"/>
      <c r="AL37" s="6"/>
      <c r="AM37" s="6"/>
      <c r="AN37" s="6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</row>
    <row r="38" spans="1:105" s="50" customFormat="1" ht="39.950000000000003" customHeight="1" x14ac:dyDescent="0.25">
      <c r="A38" s="44"/>
      <c r="B38" s="40"/>
      <c r="C38" s="40"/>
      <c r="D38" s="40"/>
      <c r="E38" s="40"/>
      <c r="F38" s="40"/>
      <c r="G38" s="45"/>
      <c r="H38" s="39"/>
      <c r="I38" s="14"/>
      <c r="J38" s="41"/>
      <c r="K38" s="41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7"/>
      <c r="AG38" s="7"/>
      <c r="AH38" s="7"/>
      <c r="AI38" s="6"/>
      <c r="AJ38" s="6"/>
      <c r="AK38" s="6"/>
      <c r="AL38" s="6"/>
      <c r="AM38" s="6"/>
      <c r="AN38" s="6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</row>
    <row r="39" spans="1:105" ht="39.950000000000003" customHeight="1" x14ac:dyDescent="0.25">
      <c r="A39" s="10"/>
      <c r="B39" s="6"/>
      <c r="C39" s="6"/>
      <c r="D39" s="6"/>
      <c r="E39" s="6"/>
      <c r="F39" s="6"/>
      <c r="G39" s="46"/>
      <c r="H39" s="6"/>
      <c r="I39" s="6"/>
      <c r="J39" s="8"/>
      <c r="K39" s="8"/>
      <c r="L39" s="8"/>
      <c r="M39" s="8"/>
      <c r="N39" s="8"/>
      <c r="O39" s="7"/>
      <c r="P39" s="7"/>
      <c r="Q39" s="7"/>
      <c r="R39" s="7"/>
      <c r="S39" s="7"/>
      <c r="T39" s="7"/>
      <c r="U39" s="6"/>
      <c r="V39" s="6"/>
      <c r="W39" s="6"/>
      <c r="X39" s="6"/>
      <c r="Y39" s="6"/>
      <c r="Z39" s="6"/>
      <c r="AA39" s="7"/>
      <c r="AB39" s="7"/>
      <c r="AC39" s="7"/>
      <c r="AD39" s="7"/>
      <c r="AE39" s="7"/>
      <c r="AF39" s="7"/>
      <c r="AG39" s="7"/>
      <c r="AH39" s="7"/>
      <c r="AI39" s="7"/>
      <c r="AJ39" s="6"/>
      <c r="AK39" s="6"/>
      <c r="AL39" s="6"/>
      <c r="AM39" s="6"/>
      <c r="AN39" s="6"/>
      <c r="AO39" s="6"/>
      <c r="AP39" s="8"/>
      <c r="AQ39" s="8"/>
      <c r="AR39" s="6"/>
      <c r="AS39" s="6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</row>
    <row r="40" spans="1:105" ht="39.950000000000003" customHeight="1" thickBot="1" x14ac:dyDescent="0.3">
      <c r="A40" s="47"/>
      <c r="B40" s="48"/>
      <c r="C40" s="48"/>
      <c r="D40" s="48"/>
      <c r="E40" s="48"/>
      <c r="F40" s="48"/>
      <c r="G40" s="49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</row>
    <row r="41" spans="1:105" ht="39.950000000000003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</row>
    <row r="42" spans="1:105" ht="32.25" customHeight="1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</row>
    <row r="43" spans="1:105" ht="32.25" customHeight="1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</row>
    <row r="44" spans="1:105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</row>
    <row r="45" spans="1:105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</row>
    <row r="46" spans="1:105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</row>
    <row r="47" spans="1:105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</row>
    <row r="48" spans="1:105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</row>
    <row r="49" spans="1:105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</row>
    <row r="50" spans="1:105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</row>
    <row r="51" spans="1:105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</row>
    <row r="52" spans="1:105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</row>
    <row r="53" spans="1:105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</row>
    <row r="54" spans="1:105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</row>
    <row r="55" spans="1:105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</row>
    <row r="56" spans="1:105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</row>
    <row r="57" spans="1:105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</row>
    <row r="58" spans="1:105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</row>
    <row r="59" spans="1:105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</row>
    <row r="60" spans="1:105" x14ac:dyDescent="0.25">
      <c r="A60" s="57">
        <v>0</v>
      </c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</row>
    <row r="61" spans="1:105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</row>
    <row r="62" spans="1:105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</row>
    <row r="63" spans="1:105" x14ac:dyDescent="0.25">
      <c r="A63" s="22"/>
      <c r="B63" s="58"/>
      <c r="C63" s="58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</row>
    <row r="64" spans="1:105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</row>
    <row r="65" spans="1:105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</row>
  </sheetData>
  <sheetProtection selectLockedCells="1"/>
  <customSheetViews>
    <customSheetView guid="{8FC35363-868F-4EDE-AB9E-1079786AF750}" scale="50" showGridLines="0">
      <selection activeCell="A3" sqref="A3:B3"/>
      <pageMargins left="0.7" right="0.7" top="0.75" bottom="0.75" header="0.3" footer="0.3"/>
      <pageSetup orientation="portrait" verticalDpi="300" r:id="rId1"/>
    </customSheetView>
    <customSheetView guid="{A31020AA-FEEF-4C36-BC93-A6FB09B83AD8}" scale="50" showGridLines="0">
      <selection activeCell="AV17" sqref="AV17:AW17"/>
      <pageMargins left="0.7" right="0.7" top="0.75" bottom="0.75" header="0.3" footer="0.3"/>
      <pageSetup orientation="portrait" verticalDpi="300" r:id="rId2"/>
    </customSheetView>
  </customSheetViews>
  <mergeCells count="568">
    <mergeCell ref="A37:G37"/>
    <mergeCell ref="P35:Q35"/>
    <mergeCell ref="R35:S35"/>
    <mergeCell ref="T35:U35"/>
    <mergeCell ref="V35:W35"/>
    <mergeCell ref="X35:Y35"/>
    <mergeCell ref="Z35:AA35"/>
    <mergeCell ref="X34:Y34"/>
    <mergeCell ref="Z34:AA34"/>
    <mergeCell ref="AB34:AC34"/>
    <mergeCell ref="AD34:AE34"/>
    <mergeCell ref="AG34:AK34"/>
    <mergeCell ref="A35:F35"/>
    <mergeCell ref="G35:H35"/>
    <mergeCell ref="J35:K35"/>
    <mergeCell ref="L35:M35"/>
    <mergeCell ref="N35:O35"/>
    <mergeCell ref="AB35:AC35"/>
    <mergeCell ref="AD35:AE35"/>
    <mergeCell ref="A34:F34"/>
    <mergeCell ref="G34:H34"/>
    <mergeCell ref="J34:K34"/>
    <mergeCell ref="L34:M34"/>
    <mergeCell ref="N34:O34"/>
    <mergeCell ref="P34:Q34"/>
    <mergeCell ref="R34:S34"/>
    <mergeCell ref="T34:U34"/>
    <mergeCell ref="V34:W34"/>
    <mergeCell ref="BE30:BF30"/>
    <mergeCell ref="A32:E32"/>
    <mergeCell ref="J32:Q32"/>
    <mergeCell ref="A33:F33"/>
    <mergeCell ref="G33:H33"/>
    <mergeCell ref="J33:K33"/>
    <mergeCell ref="L33:M33"/>
    <mergeCell ref="N33:O33"/>
    <mergeCell ref="P33:Q33"/>
    <mergeCell ref="R33:S33"/>
    <mergeCell ref="AO30:AP30"/>
    <mergeCell ref="AQ30:AR30"/>
    <mergeCell ref="AT30:AU30"/>
    <mergeCell ref="AV30:AW30"/>
    <mergeCell ref="AY30:AZ30"/>
    <mergeCell ref="BB30:BC30"/>
    <mergeCell ref="AG33:AK33"/>
    <mergeCell ref="T33:U33"/>
    <mergeCell ref="V33:W33"/>
    <mergeCell ref="X33:Y33"/>
    <mergeCell ref="Z33:AA33"/>
    <mergeCell ref="AB33:AC33"/>
    <mergeCell ref="AD33:AE33"/>
    <mergeCell ref="G30:H30"/>
    <mergeCell ref="R30:S30"/>
    <mergeCell ref="AB30:AC30"/>
    <mergeCell ref="AE30:AF30"/>
    <mergeCell ref="AH30:AI30"/>
    <mergeCell ref="AK30:AL30"/>
    <mergeCell ref="AM30:AN30"/>
    <mergeCell ref="AK29:AL29"/>
    <mergeCell ref="AM29:AN29"/>
    <mergeCell ref="BB28:BC28"/>
    <mergeCell ref="BE28:BF28"/>
    <mergeCell ref="G29:H29"/>
    <mergeCell ref="R29:S29"/>
    <mergeCell ref="AB29:AC29"/>
    <mergeCell ref="AE29:AF29"/>
    <mergeCell ref="AH29:AI29"/>
    <mergeCell ref="AY29:AZ29"/>
    <mergeCell ref="BB29:BC29"/>
    <mergeCell ref="BE29:BF29"/>
    <mergeCell ref="AO29:AP29"/>
    <mergeCell ref="AQ29:AR29"/>
    <mergeCell ref="AT29:AU29"/>
    <mergeCell ref="AV29:AW29"/>
    <mergeCell ref="A27:E27"/>
    <mergeCell ref="A28:H28"/>
    <mergeCell ref="J28:S28"/>
    <mergeCell ref="U28:AC28"/>
    <mergeCell ref="AE28:AF28"/>
    <mergeCell ref="AH28:AI28"/>
    <mergeCell ref="AT25:AU25"/>
    <mergeCell ref="AV25:AW25"/>
    <mergeCell ref="AZ25:BA25"/>
    <mergeCell ref="AK28:AR28"/>
    <mergeCell ref="AT28:AW28"/>
    <mergeCell ref="AY28:AZ28"/>
    <mergeCell ref="F26:J26"/>
    <mergeCell ref="BB25:BC25"/>
    <mergeCell ref="BD25:BE25"/>
    <mergeCell ref="A26:E26"/>
    <mergeCell ref="T26:V26"/>
    <mergeCell ref="W26:X26"/>
    <mergeCell ref="AA25:AB25"/>
    <mergeCell ref="AJ25:AK25"/>
    <mergeCell ref="AL25:AM25"/>
    <mergeCell ref="AN25:AO25"/>
    <mergeCell ref="AP25:AQ25"/>
    <mergeCell ref="AR25:AS25"/>
    <mergeCell ref="A25:B25"/>
    <mergeCell ref="C25:D25"/>
    <mergeCell ref="K25:L25"/>
    <mergeCell ref="M25:N25"/>
    <mergeCell ref="W25:X25"/>
    <mergeCell ref="Y25:Z25"/>
    <mergeCell ref="AV24:AW24"/>
    <mergeCell ref="AZ24:BA24"/>
    <mergeCell ref="BB24:BC24"/>
    <mergeCell ref="BD24:BE24"/>
    <mergeCell ref="Y24:Z24"/>
    <mergeCell ref="AA24:AB24"/>
    <mergeCell ref="AJ24:AK24"/>
    <mergeCell ref="AL24:AM24"/>
    <mergeCell ref="AN24:AO24"/>
    <mergeCell ref="AP24:AQ24"/>
    <mergeCell ref="AT23:AU23"/>
    <mergeCell ref="AV23:AW23"/>
    <mergeCell ref="AZ23:BA23"/>
    <mergeCell ref="BB23:BC23"/>
    <mergeCell ref="BD23:BE23"/>
    <mergeCell ref="A24:B24"/>
    <mergeCell ref="C24:D24"/>
    <mergeCell ref="K24:L24"/>
    <mergeCell ref="M24:N24"/>
    <mergeCell ref="W24:X24"/>
    <mergeCell ref="AA23:AB23"/>
    <mergeCell ref="AJ23:AK23"/>
    <mergeCell ref="AL23:AM23"/>
    <mergeCell ref="AN23:AO23"/>
    <mergeCell ref="AP23:AQ23"/>
    <mergeCell ref="AR23:AS23"/>
    <mergeCell ref="A23:B23"/>
    <mergeCell ref="C23:D23"/>
    <mergeCell ref="K23:L23"/>
    <mergeCell ref="M23:N23"/>
    <mergeCell ref="W23:X23"/>
    <mergeCell ref="Y23:Z23"/>
    <mergeCell ref="AR24:AS24"/>
    <mergeCell ref="AT24:AU24"/>
    <mergeCell ref="AV22:AW22"/>
    <mergeCell ref="AZ22:BA22"/>
    <mergeCell ref="BB22:BC22"/>
    <mergeCell ref="BD22:BE22"/>
    <mergeCell ref="Y22:Z22"/>
    <mergeCell ref="AA22:AB22"/>
    <mergeCell ref="AJ22:AK22"/>
    <mergeCell ref="AL22:AM22"/>
    <mergeCell ref="AN22:AO22"/>
    <mergeCell ref="AP22:AQ22"/>
    <mergeCell ref="AT21:AU21"/>
    <mergeCell ref="AV21:AW21"/>
    <mergeCell ref="AZ21:BA21"/>
    <mergeCell ref="BB21:BC21"/>
    <mergeCell ref="BD21:BE21"/>
    <mergeCell ref="A22:B22"/>
    <mergeCell ref="C22:D22"/>
    <mergeCell ref="K22:L22"/>
    <mergeCell ref="M22:N22"/>
    <mergeCell ref="W22:X22"/>
    <mergeCell ref="AA21:AB21"/>
    <mergeCell ref="AJ21:AK21"/>
    <mergeCell ref="AL21:AM21"/>
    <mergeCell ref="AN21:AO21"/>
    <mergeCell ref="AP21:AQ21"/>
    <mergeCell ref="AR21:AS21"/>
    <mergeCell ref="A21:B21"/>
    <mergeCell ref="C21:D21"/>
    <mergeCell ref="K21:L21"/>
    <mergeCell ref="M21:N21"/>
    <mergeCell ref="W21:X21"/>
    <mergeCell ref="Y21:Z21"/>
    <mergeCell ref="AR22:AS22"/>
    <mergeCell ref="AT22:AU22"/>
    <mergeCell ref="AR20:AS20"/>
    <mergeCell ref="AT20:AU20"/>
    <mergeCell ref="AV20:AW20"/>
    <mergeCell ref="AZ20:BA20"/>
    <mergeCell ref="BB20:BC20"/>
    <mergeCell ref="BD20:BE20"/>
    <mergeCell ref="Y20:Z20"/>
    <mergeCell ref="AA20:AB20"/>
    <mergeCell ref="AJ20:AK20"/>
    <mergeCell ref="AL20:AM20"/>
    <mergeCell ref="AN20:AO20"/>
    <mergeCell ref="AP20:AQ20"/>
    <mergeCell ref="A20:B20"/>
    <mergeCell ref="C20:D20"/>
    <mergeCell ref="K20:L20"/>
    <mergeCell ref="M20:N20"/>
    <mergeCell ref="W20:X20"/>
    <mergeCell ref="AA19:AB19"/>
    <mergeCell ref="AJ19:AK19"/>
    <mergeCell ref="AL19:AM19"/>
    <mergeCell ref="AN19:AO19"/>
    <mergeCell ref="A19:B19"/>
    <mergeCell ref="C19:D19"/>
    <mergeCell ref="K19:L19"/>
    <mergeCell ref="M19:N19"/>
    <mergeCell ref="W19:X19"/>
    <mergeCell ref="Y19:Z19"/>
    <mergeCell ref="AJ18:AK18"/>
    <mergeCell ref="AL18:AM18"/>
    <mergeCell ref="AN18:AO18"/>
    <mergeCell ref="AP18:AQ18"/>
    <mergeCell ref="AT19:AU19"/>
    <mergeCell ref="AV19:AW19"/>
    <mergeCell ref="AZ19:BA19"/>
    <mergeCell ref="BB19:BC19"/>
    <mergeCell ref="BD19:BE19"/>
    <mergeCell ref="AP19:AQ19"/>
    <mergeCell ref="AR19:AS19"/>
    <mergeCell ref="AT17:AU17"/>
    <mergeCell ref="AV17:AW17"/>
    <mergeCell ref="AZ17:BA17"/>
    <mergeCell ref="BB17:BC17"/>
    <mergeCell ref="BD17:BE17"/>
    <mergeCell ref="A18:B18"/>
    <mergeCell ref="C18:D18"/>
    <mergeCell ref="K18:L18"/>
    <mergeCell ref="M18:N18"/>
    <mergeCell ref="W18:X18"/>
    <mergeCell ref="AA17:AB17"/>
    <mergeCell ref="AJ17:AK17"/>
    <mergeCell ref="AL17:AM17"/>
    <mergeCell ref="AN17:AO17"/>
    <mergeCell ref="AP17:AQ17"/>
    <mergeCell ref="AR17:AS17"/>
    <mergeCell ref="AR18:AS18"/>
    <mergeCell ref="AT18:AU18"/>
    <mergeCell ref="AV18:AW18"/>
    <mergeCell ref="AZ18:BA18"/>
    <mergeCell ref="BB18:BC18"/>
    <mergeCell ref="BD18:BE18"/>
    <mergeCell ref="Y18:Z18"/>
    <mergeCell ref="AA18:AB18"/>
    <mergeCell ref="A17:B17"/>
    <mergeCell ref="C17:D17"/>
    <mergeCell ref="K17:L17"/>
    <mergeCell ref="M17:N17"/>
    <mergeCell ref="W17:X17"/>
    <mergeCell ref="Y17:Z17"/>
    <mergeCell ref="AJ16:AK16"/>
    <mergeCell ref="AL16:AM16"/>
    <mergeCell ref="AN16:AO16"/>
    <mergeCell ref="BD15:BE15"/>
    <mergeCell ref="A16:B16"/>
    <mergeCell ref="C16:D16"/>
    <mergeCell ref="K16:L16"/>
    <mergeCell ref="M16:N16"/>
    <mergeCell ref="W16:X16"/>
    <mergeCell ref="Y16:Z16"/>
    <mergeCell ref="AA16:AB16"/>
    <mergeCell ref="AJ15:AK15"/>
    <mergeCell ref="AL15:AM15"/>
    <mergeCell ref="AN15:AO15"/>
    <mergeCell ref="AP15:AQ15"/>
    <mergeCell ref="AR15:AS15"/>
    <mergeCell ref="AT15:AW15"/>
    <mergeCell ref="AV16:AW16"/>
    <mergeCell ref="AZ16:BA16"/>
    <mergeCell ref="BB16:BC16"/>
    <mergeCell ref="BD16:BE16"/>
    <mergeCell ref="AP16:AQ16"/>
    <mergeCell ref="AR16:AS16"/>
    <mergeCell ref="AT16:AU16"/>
    <mergeCell ref="BJ14:BK14"/>
    <mergeCell ref="A15:B15"/>
    <mergeCell ref="C15:D15"/>
    <mergeCell ref="K15:L15"/>
    <mergeCell ref="M15:N15"/>
    <mergeCell ref="W15:X15"/>
    <mergeCell ref="Y15:Z15"/>
    <mergeCell ref="AA15:AB15"/>
    <mergeCell ref="AT14:AU14"/>
    <mergeCell ref="AV14:AW14"/>
    <mergeCell ref="AX14:AY14"/>
    <mergeCell ref="AZ14:BA14"/>
    <mergeCell ref="BB14:BC14"/>
    <mergeCell ref="BD14:BE14"/>
    <mergeCell ref="AA14:AB14"/>
    <mergeCell ref="AJ14:AK14"/>
    <mergeCell ref="AL14:AM14"/>
    <mergeCell ref="AN14:AO14"/>
    <mergeCell ref="AP14:AQ14"/>
    <mergeCell ref="AR14:AS14"/>
    <mergeCell ref="A14:B14"/>
    <mergeCell ref="C14:D14"/>
    <mergeCell ref="AZ15:BA15"/>
    <mergeCell ref="BB15:BC15"/>
    <mergeCell ref="K14:L14"/>
    <mergeCell ref="M14:N14"/>
    <mergeCell ref="W14:X14"/>
    <mergeCell ref="Y14:Z14"/>
    <mergeCell ref="AZ13:BA13"/>
    <mergeCell ref="BB13:BC13"/>
    <mergeCell ref="BD13:BE13"/>
    <mergeCell ref="BF13:BG13"/>
    <mergeCell ref="BH13:BI13"/>
    <mergeCell ref="BF14:BG14"/>
    <mergeCell ref="BH14:BI14"/>
    <mergeCell ref="BJ13:BK13"/>
    <mergeCell ref="AN13:AO13"/>
    <mergeCell ref="AP13:AQ13"/>
    <mergeCell ref="AR13:AS13"/>
    <mergeCell ref="AT13:AU13"/>
    <mergeCell ref="AV13:AW13"/>
    <mergeCell ref="AX13:AY13"/>
    <mergeCell ref="BJ12:BK12"/>
    <mergeCell ref="A13:B13"/>
    <mergeCell ref="C13:D13"/>
    <mergeCell ref="K13:L13"/>
    <mergeCell ref="M13:N13"/>
    <mergeCell ref="W13:X13"/>
    <mergeCell ref="Y13:Z13"/>
    <mergeCell ref="AA13:AB13"/>
    <mergeCell ref="AJ13:AK13"/>
    <mergeCell ref="AL13:AM13"/>
    <mergeCell ref="AX12:AY12"/>
    <mergeCell ref="AZ12:BA12"/>
    <mergeCell ref="BB12:BC12"/>
    <mergeCell ref="BD12:BE12"/>
    <mergeCell ref="BF12:BG12"/>
    <mergeCell ref="BH12:BI12"/>
    <mergeCell ref="AL12:AM12"/>
    <mergeCell ref="BH11:BI11"/>
    <mergeCell ref="BJ11:BK11"/>
    <mergeCell ref="A12:B12"/>
    <mergeCell ref="C12:D12"/>
    <mergeCell ref="K12:L12"/>
    <mergeCell ref="M12:N12"/>
    <mergeCell ref="W12:X12"/>
    <mergeCell ref="Y12:Z12"/>
    <mergeCell ref="AA12:AB12"/>
    <mergeCell ref="AJ12:AK12"/>
    <mergeCell ref="AV11:AW11"/>
    <mergeCell ref="AX11:AY11"/>
    <mergeCell ref="AZ11:BA11"/>
    <mergeCell ref="BB11:BC11"/>
    <mergeCell ref="BD11:BE11"/>
    <mergeCell ref="BF11:BG11"/>
    <mergeCell ref="AJ11:AK11"/>
    <mergeCell ref="AL11:AM11"/>
    <mergeCell ref="AN11:AO11"/>
    <mergeCell ref="AJ10:AK10"/>
    <mergeCell ref="AL10:AM10"/>
    <mergeCell ref="AN10:AO10"/>
    <mergeCell ref="AP10:AQ10"/>
    <mergeCell ref="AN12:AO12"/>
    <mergeCell ref="AP12:AQ12"/>
    <mergeCell ref="AR12:AS12"/>
    <mergeCell ref="AT12:AU12"/>
    <mergeCell ref="AV12:AW12"/>
    <mergeCell ref="A10:B10"/>
    <mergeCell ref="C10:D10"/>
    <mergeCell ref="K10:L10"/>
    <mergeCell ref="M10:N10"/>
    <mergeCell ref="W10:X10"/>
    <mergeCell ref="Y10:Z10"/>
    <mergeCell ref="AZ9:BA9"/>
    <mergeCell ref="BB9:BC9"/>
    <mergeCell ref="AP11:AQ11"/>
    <mergeCell ref="AR11:AS11"/>
    <mergeCell ref="AT11:AU11"/>
    <mergeCell ref="A11:B11"/>
    <mergeCell ref="C11:D11"/>
    <mergeCell ref="K11:L11"/>
    <mergeCell ref="M11:N11"/>
    <mergeCell ref="W11:X11"/>
    <mergeCell ref="Y11:Z11"/>
    <mergeCell ref="AA11:AB11"/>
    <mergeCell ref="AT10:AU10"/>
    <mergeCell ref="AV10:AW10"/>
    <mergeCell ref="AX10:AY10"/>
    <mergeCell ref="AZ10:BA10"/>
    <mergeCell ref="BB10:BC10"/>
    <mergeCell ref="AA10:AB10"/>
    <mergeCell ref="BH9:BI9"/>
    <mergeCell ref="BJ9:BK9"/>
    <mergeCell ref="AN9:AO9"/>
    <mergeCell ref="AP9:AQ9"/>
    <mergeCell ref="AR9:AS9"/>
    <mergeCell ref="AT9:AU9"/>
    <mergeCell ref="AV9:AW9"/>
    <mergeCell ref="AX9:AY9"/>
    <mergeCell ref="AR10:AS10"/>
    <mergeCell ref="BF10:BG10"/>
    <mergeCell ref="BH10:BI10"/>
    <mergeCell ref="BJ10:BK10"/>
    <mergeCell ref="BD10:BE10"/>
    <mergeCell ref="BJ8:BK8"/>
    <mergeCell ref="A9:B9"/>
    <mergeCell ref="C9:D9"/>
    <mergeCell ref="K9:L9"/>
    <mergeCell ref="M9:N9"/>
    <mergeCell ref="W9:X9"/>
    <mergeCell ref="Y9:Z9"/>
    <mergeCell ref="AA9:AB9"/>
    <mergeCell ref="AJ9:AK9"/>
    <mergeCell ref="AL9:AM9"/>
    <mergeCell ref="AX8:AY8"/>
    <mergeCell ref="AZ8:BA8"/>
    <mergeCell ref="BB8:BC8"/>
    <mergeCell ref="BD8:BE8"/>
    <mergeCell ref="BF8:BG8"/>
    <mergeCell ref="BH8:BI8"/>
    <mergeCell ref="AL8:AM8"/>
    <mergeCell ref="AN8:AO8"/>
    <mergeCell ref="AP8:AQ8"/>
    <mergeCell ref="AR8:AS8"/>
    <mergeCell ref="AT8:AU8"/>
    <mergeCell ref="AV8:AW8"/>
    <mergeCell ref="BD9:BE9"/>
    <mergeCell ref="BF9:BG9"/>
    <mergeCell ref="AX7:AY7"/>
    <mergeCell ref="AZ7:BA7"/>
    <mergeCell ref="BB7:BC7"/>
    <mergeCell ref="BD7:BE7"/>
    <mergeCell ref="BF7:BG7"/>
    <mergeCell ref="AJ7:AK7"/>
    <mergeCell ref="AL7:AM7"/>
    <mergeCell ref="AN7:AO7"/>
    <mergeCell ref="AP7:AQ7"/>
    <mergeCell ref="AR7:AS7"/>
    <mergeCell ref="AT7:AU7"/>
    <mergeCell ref="A8:B8"/>
    <mergeCell ref="C8:D8"/>
    <mergeCell ref="K8:L8"/>
    <mergeCell ref="M8:N8"/>
    <mergeCell ref="W8:X8"/>
    <mergeCell ref="Y8:Z8"/>
    <mergeCell ref="AA8:AB8"/>
    <mergeCell ref="AJ8:AK8"/>
    <mergeCell ref="AV7:AW7"/>
    <mergeCell ref="BJ6:BK6"/>
    <mergeCell ref="A7:B7"/>
    <mergeCell ref="C7:D7"/>
    <mergeCell ref="K7:L7"/>
    <mergeCell ref="M7:N7"/>
    <mergeCell ref="W7:X7"/>
    <mergeCell ref="Y7:Z7"/>
    <mergeCell ref="AA7:AB7"/>
    <mergeCell ref="AT6:AU6"/>
    <mergeCell ref="AV6:AW6"/>
    <mergeCell ref="AX6:AY6"/>
    <mergeCell ref="AZ6:BA6"/>
    <mergeCell ref="BB6:BC6"/>
    <mergeCell ref="BD6:BE6"/>
    <mergeCell ref="AA6:AB6"/>
    <mergeCell ref="AJ6:AK6"/>
    <mergeCell ref="AL6:AM6"/>
    <mergeCell ref="AN6:AO6"/>
    <mergeCell ref="AP6:AQ6"/>
    <mergeCell ref="AR6:AS6"/>
    <mergeCell ref="A6:B6"/>
    <mergeCell ref="C6:D6"/>
    <mergeCell ref="BH7:BI7"/>
    <mergeCell ref="BJ7:BK7"/>
    <mergeCell ref="K6:L6"/>
    <mergeCell ref="M6:N6"/>
    <mergeCell ref="W6:X6"/>
    <mergeCell ref="Y6:Z6"/>
    <mergeCell ref="AZ5:BA5"/>
    <mergeCell ref="BB5:BC5"/>
    <mergeCell ref="BD5:BE5"/>
    <mergeCell ref="BF5:BG5"/>
    <mergeCell ref="BH5:BI5"/>
    <mergeCell ref="BF6:BG6"/>
    <mergeCell ref="BH6:BI6"/>
    <mergeCell ref="BJ5:BK5"/>
    <mergeCell ref="AN5:AO5"/>
    <mergeCell ref="AP5:AQ5"/>
    <mergeCell ref="AR5:AS5"/>
    <mergeCell ref="AT5:AU5"/>
    <mergeCell ref="AV5:AW5"/>
    <mergeCell ref="AX5:AY5"/>
    <mergeCell ref="BJ4:BK4"/>
    <mergeCell ref="A5:B5"/>
    <mergeCell ref="C5:D5"/>
    <mergeCell ref="K5:L5"/>
    <mergeCell ref="M5:N5"/>
    <mergeCell ref="W5:X5"/>
    <mergeCell ref="Y5:Z5"/>
    <mergeCell ref="AA5:AB5"/>
    <mergeCell ref="AJ5:AK5"/>
    <mergeCell ref="AL5:AM5"/>
    <mergeCell ref="AX4:AY4"/>
    <mergeCell ref="AZ4:BA4"/>
    <mergeCell ref="BB4:BC4"/>
    <mergeCell ref="BD4:BE4"/>
    <mergeCell ref="BF4:BG4"/>
    <mergeCell ref="BH4:BI4"/>
    <mergeCell ref="AL4:AM4"/>
    <mergeCell ref="AN4:AO4"/>
    <mergeCell ref="AP4:AQ4"/>
    <mergeCell ref="AR4:AS4"/>
    <mergeCell ref="AT4:AU4"/>
    <mergeCell ref="AV4:AW4"/>
    <mergeCell ref="BH3:BI3"/>
    <mergeCell ref="BJ3:BK3"/>
    <mergeCell ref="A4:B4"/>
    <mergeCell ref="C4:D4"/>
    <mergeCell ref="K4:L4"/>
    <mergeCell ref="M4:N4"/>
    <mergeCell ref="W4:X4"/>
    <mergeCell ref="Y4:Z4"/>
    <mergeCell ref="AA4:AB4"/>
    <mergeCell ref="AJ4:AK4"/>
    <mergeCell ref="AV3:AW3"/>
    <mergeCell ref="AX3:AY3"/>
    <mergeCell ref="AZ3:BA3"/>
    <mergeCell ref="BB3:BC3"/>
    <mergeCell ref="BD3:BE3"/>
    <mergeCell ref="BF3:BG3"/>
    <mergeCell ref="AJ3:AK3"/>
    <mergeCell ref="AL3:AM3"/>
    <mergeCell ref="AN3:AO3"/>
    <mergeCell ref="BH2:BI2"/>
    <mergeCell ref="BJ2:BK2"/>
    <mergeCell ref="A3:B3"/>
    <mergeCell ref="C3:D3"/>
    <mergeCell ref="K3:L3"/>
    <mergeCell ref="M3:N3"/>
    <mergeCell ref="W3:X3"/>
    <mergeCell ref="Y3:Z3"/>
    <mergeCell ref="AA3:AB3"/>
    <mergeCell ref="AT2:AU2"/>
    <mergeCell ref="AV2:AW2"/>
    <mergeCell ref="AX2:AY2"/>
    <mergeCell ref="AZ2:BA2"/>
    <mergeCell ref="BB2:BC2"/>
    <mergeCell ref="BD2:BE2"/>
    <mergeCell ref="AA2:AB2"/>
    <mergeCell ref="AJ2:AK2"/>
    <mergeCell ref="AL2:AM2"/>
    <mergeCell ref="AN2:AO2"/>
    <mergeCell ref="AP2:AQ2"/>
    <mergeCell ref="M1:N1"/>
    <mergeCell ref="AP3:AQ3"/>
    <mergeCell ref="AR3:AS3"/>
    <mergeCell ref="AT3:AU3"/>
    <mergeCell ref="BF2:BG2"/>
    <mergeCell ref="O1:V1"/>
    <mergeCell ref="AR2:AS2"/>
    <mergeCell ref="BD1:BE1"/>
    <mergeCell ref="BF1:BG1"/>
    <mergeCell ref="BH1:BI1"/>
    <mergeCell ref="BJ1:BK1"/>
    <mergeCell ref="A2:B2"/>
    <mergeCell ref="C2:D2"/>
    <mergeCell ref="K2:L2"/>
    <mergeCell ref="M2:N2"/>
    <mergeCell ref="W2:X2"/>
    <mergeCell ref="Y2:Z2"/>
    <mergeCell ref="AN1:AO1"/>
    <mergeCell ref="AP1:AQ1"/>
    <mergeCell ref="AR1:AS1"/>
    <mergeCell ref="AT1:AY1"/>
    <mergeCell ref="AZ1:BA1"/>
    <mergeCell ref="BB1:BC1"/>
    <mergeCell ref="W1:X1"/>
    <mergeCell ref="Y1:Z1"/>
    <mergeCell ref="AA1:AB1"/>
    <mergeCell ref="AC1:AI1"/>
    <mergeCell ref="AJ1:AK1"/>
    <mergeCell ref="AL1:AM1"/>
    <mergeCell ref="A1:B1"/>
    <mergeCell ref="C1:D1"/>
    <mergeCell ref="E1:J1"/>
    <mergeCell ref="K1:L1"/>
  </mergeCells>
  <conditionalFormatting sqref="AG34 U30:AB30">
    <cfRule type="cellIs" dxfId="174" priority="57" stopIfTrue="1" operator="greaterThan">
      <formula>0</formula>
    </cfRule>
  </conditionalFormatting>
  <conditionalFormatting sqref="AG34 U30:AB30">
    <cfRule type="cellIs" dxfId="173" priority="56" stopIfTrue="1" operator="equal">
      <formula>0</formula>
    </cfRule>
  </conditionalFormatting>
  <conditionalFormatting sqref="O3:V3 O5:V5 O7:V7 O9:V9 O11:V11 O13:V13 O15:V15 O17:V17 O19:V19 O21:V21 O23:V23 O25:V25 E3:J3 E5:J5 E7:J7 E9:J9 E11:J11 E13:J13 E15:J15 E17:J17 E19:J19 E21:J21 E23:J23 E25:J25 AT3:AT14 AV3:AV14 AN17:AN25 BJ3:BJ14">
    <cfRule type="cellIs" dxfId="172" priority="51" stopIfTrue="1" operator="equal">
      <formula>"X"</formula>
    </cfRule>
  </conditionalFormatting>
  <conditionalFormatting sqref="AY30 AH30 O3:V3 O5:V5 O7:V7 O9:V9 O11:V11 O13:V13 O15:V15 O17:V17 O19:V19 O21:V21 O23:V23 O25:V25 J30:S30 AK30 AQ30 W3:X15 E3:J3 E5:J5 E7:J7 E9:J9 E11:J11 E13:J13 E15:J15 E17:J17 E19:J19 E21:J21 E23:J23 E25:J25 G30:H30 A30:E30 AM30 AT3:AT14 AV3:AV14 AN17:AN25 BJ3:BJ14 W17:X26">
    <cfRule type="cellIs" dxfId="171" priority="55" stopIfTrue="1" operator="greaterThan">
      <formula>0</formula>
    </cfRule>
  </conditionalFormatting>
  <conditionalFormatting sqref="AY30 AK30 AM30 AQ30 AH30 J30:S30 W3:X15 G30:H30 A30:E30 W17:X26">
    <cfRule type="cellIs" dxfId="170" priority="53" stopIfTrue="1" operator="equal">
      <formula>0</formula>
    </cfRule>
  </conditionalFormatting>
  <conditionalFormatting sqref="O3:V25 E3:J25 AT3:AT14 AV3:AV14 AN17:AN25 BJ3:BJ14">
    <cfRule type="cellIs" dxfId="169" priority="52" stopIfTrue="1" operator="equal">
      <formula>"PO"</formula>
    </cfRule>
    <cfRule type="cellIs" dxfId="168" priority="54" stopIfTrue="1" operator="equal">
      <formula>"ip"</formula>
    </cfRule>
  </conditionalFormatting>
  <conditionalFormatting sqref="AV17:AW25">
    <cfRule type="cellIs" dxfId="167" priority="47" stopIfTrue="1" operator="equal">
      <formula>"X"</formula>
    </cfRule>
  </conditionalFormatting>
  <conditionalFormatting sqref="AV17:AW25">
    <cfRule type="cellIs" dxfId="166" priority="50" stopIfTrue="1" operator="greaterThan">
      <formula>0</formula>
    </cfRule>
  </conditionalFormatting>
  <conditionalFormatting sqref="AV17:AW25">
    <cfRule type="cellIs" dxfId="165" priority="48" stopIfTrue="1" operator="equal">
      <formula>"PO"</formula>
    </cfRule>
    <cfRule type="cellIs" dxfId="164" priority="49" stopIfTrue="1" operator="equal">
      <formula>"ip"</formula>
    </cfRule>
  </conditionalFormatting>
  <conditionalFormatting sqref="AI3 AI5 AI7 AI9 AI11 AI13 AI15 AI17 AI19 AI21 AI23 AI25">
    <cfRule type="cellIs" dxfId="163" priority="39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162" priority="43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161" priority="46" stopIfTrue="1" operator="greaterThan">
      <formula>0</formula>
    </cfRule>
  </conditionalFormatting>
  <conditionalFormatting sqref="AC3:AH25">
    <cfRule type="cellIs" dxfId="160" priority="44" stopIfTrue="1" operator="equal">
      <formula>"PO"</formula>
    </cfRule>
    <cfRule type="cellIs" dxfId="159" priority="45" stopIfTrue="1" operator="equal">
      <formula>"ip"</formula>
    </cfRule>
  </conditionalFormatting>
  <conditionalFormatting sqref="AI3 AI5 AI7 AI9 AI11 AI13 AI15 AI17 AI19 AI21 AI23 AI25">
    <cfRule type="cellIs" dxfId="158" priority="42" stopIfTrue="1" operator="greaterThan">
      <formula>0</formula>
    </cfRule>
  </conditionalFormatting>
  <conditionalFormatting sqref="AI3:AI25">
    <cfRule type="cellIs" dxfId="157" priority="40" stopIfTrue="1" operator="equal">
      <formula>"PO"</formula>
    </cfRule>
    <cfRule type="cellIs" dxfId="156" priority="41" stopIfTrue="1" operator="equal">
      <formula>"ip"</formula>
    </cfRule>
  </conditionalFormatting>
  <conditionalFormatting sqref="AN8:AO14 AN3:AO5">
    <cfRule type="cellIs" dxfId="155" priority="35" stopIfTrue="1" operator="equal">
      <formula>"X"</formula>
    </cfRule>
  </conditionalFormatting>
  <conditionalFormatting sqref="AN8:AO14 AN3:AO5">
    <cfRule type="cellIs" dxfId="154" priority="38" stopIfTrue="1" operator="greaterThan">
      <formula>0</formula>
    </cfRule>
  </conditionalFormatting>
  <conditionalFormatting sqref="AN8:AO14 AN3:AO5">
    <cfRule type="cellIs" dxfId="153" priority="36" stopIfTrue="1" operator="equal">
      <formula>"PO"</formula>
    </cfRule>
    <cfRule type="cellIs" dxfId="152" priority="37" stopIfTrue="1" operator="equal">
      <formula>"ip"</formula>
    </cfRule>
  </conditionalFormatting>
  <conditionalFormatting sqref="AN6:AO7">
    <cfRule type="cellIs" dxfId="151" priority="31" stopIfTrue="1" operator="equal">
      <formula>"X"</formula>
    </cfRule>
  </conditionalFormatting>
  <conditionalFormatting sqref="AN6:AO7">
    <cfRule type="cellIs" dxfId="150" priority="34" stopIfTrue="1" operator="greaterThan">
      <formula>0</formula>
    </cfRule>
  </conditionalFormatting>
  <conditionalFormatting sqref="AN6:AO7">
    <cfRule type="cellIs" dxfId="149" priority="32" stopIfTrue="1" operator="equal">
      <formula>"PO"</formula>
    </cfRule>
    <cfRule type="cellIs" dxfId="148" priority="33" stopIfTrue="1" operator="equal">
      <formula>"ip"</formula>
    </cfRule>
  </conditionalFormatting>
  <conditionalFormatting sqref="AE30">
    <cfRule type="cellIs" dxfId="147" priority="29" stopIfTrue="1" operator="equal">
      <formula>0</formula>
    </cfRule>
  </conditionalFormatting>
  <conditionalFormatting sqref="AE30">
    <cfRule type="cellIs" dxfId="146" priority="30" stopIfTrue="1" operator="greaterThan">
      <formula>0</formula>
    </cfRule>
  </conditionalFormatting>
  <conditionalFormatting sqref="AX3:AY14">
    <cfRule type="cellIs" dxfId="145" priority="25" stopIfTrue="1" operator="equal">
      <formula>"X"</formula>
    </cfRule>
  </conditionalFormatting>
  <conditionalFormatting sqref="AX3:AY14">
    <cfRule type="cellIs" dxfId="144" priority="28" stopIfTrue="1" operator="greaterThan">
      <formula>0</formula>
    </cfRule>
  </conditionalFormatting>
  <conditionalFormatting sqref="AX3:AY14">
    <cfRule type="cellIs" dxfId="143" priority="26" stopIfTrue="1" operator="equal">
      <formula>"PO"</formula>
    </cfRule>
    <cfRule type="cellIs" dxfId="142" priority="27" stopIfTrue="1" operator="equal">
      <formula>"ip"</formula>
    </cfRule>
  </conditionalFormatting>
  <conditionalFormatting sqref="AO30">
    <cfRule type="cellIs" dxfId="141" priority="23" stopIfTrue="1" operator="equal">
      <formula>0</formula>
    </cfRule>
  </conditionalFormatting>
  <conditionalFormatting sqref="AO30">
    <cfRule type="cellIs" dxfId="140" priority="24" stopIfTrue="1" operator="greaterThan">
      <formula>0</formula>
    </cfRule>
  </conditionalFormatting>
  <conditionalFormatting sqref="F30">
    <cfRule type="cellIs" dxfId="139" priority="22" stopIfTrue="1" operator="greaterThan">
      <formula>0</formula>
    </cfRule>
  </conditionalFormatting>
  <conditionalFormatting sqref="F30">
    <cfRule type="cellIs" dxfId="138" priority="21" stopIfTrue="1" operator="equal">
      <formula>0</formula>
    </cfRule>
  </conditionalFormatting>
  <conditionalFormatting sqref="AT17:AU25">
    <cfRule type="cellIs" dxfId="137" priority="16" stopIfTrue="1" operator="greaterThan">
      <formula>0</formula>
    </cfRule>
  </conditionalFormatting>
  <conditionalFormatting sqref="BD3:BE14">
    <cfRule type="cellIs" dxfId="136" priority="17" stopIfTrue="1" operator="equal">
      <formula>"X"</formula>
    </cfRule>
  </conditionalFormatting>
  <conditionalFormatting sqref="BD3:BE14">
    <cfRule type="cellIs" dxfId="135" priority="20" stopIfTrue="1" operator="greaterThan">
      <formula>0</formula>
    </cfRule>
  </conditionalFormatting>
  <conditionalFormatting sqref="BD3:BE14">
    <cfRule type="cellIs" dxfId="134" priority="18" stopIfTrue="1" operator="equal">
      <formula>"PO"</formula>
    </cfRule>
    <cfRule type="cellIs" dxfId="133" priority="19" stopIfTrue="1" operator="equal">
      <formula>"ip"</formula>
    </cfRule>
  </conditionalFormatting>
  <conditionalFormatting sqref="AT17:AU25">
    <cfRule type="cellIs" dxfId="132" priority="13" stopIfTrue="1" operator="equal">
      <formula>"X"</formula>
    </cfRule>
  </conditionalFormatting>
  <conditionalFormatting sqref="AT17:AU25">
    <cfRule type="cellIs" dxfId="131" priority="14" stopIfTrue="1" operator="equal">
      <formula>"PO"</formula>
    </cfRule>
    <cfRule type="cellIs" dxfId="130" priority="15" stopIfTrue="1" operator="equal">
      <formula>"ip"</formula>
    </cfRule>
  </conditionalFormatting>
  <conditionalFormatting sqref="BD17:BE25">
    <cfRule type="cellIs" dxfId="129" priority="9" stopIfTrue="1" operator="equal">
      <formula>"X"</formula>
    </cfRule>
  </conditionalFormatting>
  <conditionalFormatting sqref="BD17:BE25">
    <cfRule type="cellIs" dxfId="128" priority="12" stopIfTrue="1" operator="greaterThan">
      <formula>0</formula>
    </cfRule>
  </conditionalFormatting>
  <conditionalFormatting sqref="BD17:BE25">
    <cfRule type="cellIs" dxfId="127" priority="10" stopIfTrue="1" operator="equal">
      <formula>"PO"</formula>
    </cfRule>
    <cfRule type="cellIs" dxfId="126" priority="11" stopIfTrue="1" operator="equal">
      <formula>"ip"</formula>
    </cfRule>
  </conditionalFormatting>
  <conditionalFormatting sqref="AT30">
    <cfRule type="cellIs" dxfId="125" priority="8" stopIfTrue="1" operator="greaterThan">
      <formula>0</formula>
    </cfRule>
  </conditionalFormatting>
  <conditionalFormatting sqref="AT30">
    <cfRule type="cellIs" dxfId="124" priority="7" stopIfTrue="1" operator="equal">
      <formula>0</formula>
    </cfRule>
  </conditionalFormatting>
  <conditionalFormatting sqref="AV30">
    <cfRule type="cellIs" dxfId="123" priority="5" stopIfTrue="1" operator="equal">
      <formula>0</formula>
    </cfRule>
  </conditionalFormatting>
  <conditionalFormatting sqref="AV30">
    <cfRule type="cellIs" dxfId="122" priority="6" stopIfTrue="1" operator="greaterThan">
      <formula>0</formula>
    </cfRule>
  </conditionalFormatting>
  <conditionalFormatting sqref="BB30">
    <cfRule type="cellIs" dxfId="121" priority="4" stopIfTrue="1" operator="greaterThan">
      <formula>0</formula>
    </cfRule>
  </conditionalFormatting>
  <conditionalFormatting sqref="BB30">
    <cfRule type="cellIs" dxfId="120" priority="3" stopIfTrue="1" operator="equal">
      <formula>0</formula>
    </cfRule>
  </conditionalFormatting>
  <conditionalFormatting sqref="BE30">
    <cfRule type="cellIs" dxfId="119" priority="2" stopIfTrue="1" operator="greaterThan">
      <formula>0</formula>
    </cfRule>
  </conditionalFormatting>
  <conditionalFormatting sqref="BE30">
    <cfRule type="cellIs" dxfId="118" priority="1" stopIfTrue="1" operator="equal">
      <formula>0</formula>
    </cfRule>
  </conditionalFormatting>
  <pageMargins left="0.7" right="0.7" top="0.75" bottom="0.75" header="0.3" footer="0.3"/>
  <pageSetup orientation="portrait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Button 1">
              <controlPr defaultSize="0" print="0" autoFill="0" autoPict="0" macro="[0]!clearShift">
                <anchor moveWithCells="1" sizeWithCells="1">
                  <from>
                    <xdr:col>8</xdr:col>
                    <xdr:colOff>533400</xdr:colOff>
                    <xdr:row>37</xdr:row>
                    <xdr:rowOff>381000</xdr:rowOff>
                  </from>
                  <to>
                    <xdr:col>14</xdr:col>
                    <xdr:colOff>533400</xdr:colOff>
                    <xdr:row>39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7" name="Button 2">
              <controlPr defaultSize="0" print="0" autoFill="0" autoPict="0" macro="[0]!ClearFlags">
                <anchor moveWithCells="1" sizeWithCells="1">
                  <from>
                    <xdr:col>8</xdr:col>
                    <xdr:colOff>552450</xdr:colOff>
                    <xdr:row>36</xdr:row>
                    <xdr:rowOff>0</xdr:rowOff>
                  </from>
                  <to>
                    <xdr:col>12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8" name="Button 3">
              <controlPr defaultSize="0" print="0" autoFill="0" autoPict="0" macro="[0]!setPrevFirs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9" name="Button 4">
              <controlPr defaultSize="0" print="0" autoFill="0" autoPict="0" macro="[0]!setPrevThird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10" name="Button 5">
              <controlPr defaultSize="0" print="0" autoFill="0" autoPict="0" macro="[0]!setPrevLas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CZ66"/>
  <sheetViews>
    <sheetView showGridLines="0" zoomScale="50" zoomScaleNormal="50" workbookViewId="0">
      <selection activeCell="A3" sqref="A3:B3"/>
    </sheetView>
  </sheetViews>
  <sheetFormatPr defaultColWidth="8.7109375" defaultRowHeight="15" x14ac:dyDescent="0.25"/>
  <cols>
    <col min="1" max="49" width="8.5703125" style="18" customWidth="1"/>
    <col min="50" max="16384" width="8.7109375" style="18"/>
  </cols>
  <sheetData>
    <row r="1" spans="1:104" ht="39.950000000000003" customHeight="1" thickTop="1" thickBot="1" x14ac:dyDescent="0.3">
      <c r="A1" s="166" t="s">
        <v>0</v>
      </c>
      <c r="B1" s="106"/>
      <c r="C1" s="142" t="s">
        <v>23</v>
      </c>
      <c r="D1" s="143"/>
      <c r="E1" s="205" t="s">
        <v>24</v>
      </c>
      <c r="F1" s="213"/>
      <c r="G1" s="213"/>
      <c r="H1" s="213"/>
      <c r="I1" s="213"/>
      <c r="J1" s="214"/>
      <c r="K1" s="166" t="s">
        <v>0</v>
      </c>
      <c r="L1" s="106"/>
      <c r="M1" s="143" t="s">
        <v>23</v>
      </c>
      <c r="N1" s="106"/>
      <c r="O1" s="205" t="s">
        <v>25</v>
      </c>
      <c r="P1" s="213"/>
      <c r="Q1" s="213"/>
      <c r="R1" s="213"/>
      <c r="S1" s="213"/>
      <c r="T1" s="213"/>
      <c r="U1" s="213"/>
      <c r="V1" s="214"/>
      <c r="W1" s="220" t="s">
        <v>13</v>
      </c>
      <c r="X1" s="221"/>
      <c r="Y1" s="166" t="s">
        <v>0</v>
      </c>
      <c r="Z1" s="106"/>
      <c r="AA1" s="106" t="s">
        <v>23</v>
      </c>
      <c r="AB1" s="106"/>
      <c r="AC1" s="205" t="s">
        <v>26</v>
      </c>
      <c r="AD1" s="213"/>
      <c r="AE1" s="213"/>
      <c r="AF1" s="213"/>
      <c r="AG1" s="213"/>
      <c r="AH1" s="213"/>
      <c r="AI1" s="213"/>
      <c r="AJ1" s="166" t="s">
        <v>0</v>
      </c>
      <c r="AK1" s="106"/>
      <c r="AL1" s="106" t="s">
        <v>23</v>
      </c>
      <c r="AM1" s="106"/>
      <c r="AN1" s="222" t="s">
        <v>32</v>
      </c>
      <c r="AO1" s="223"/>
      <c r="AP1" s="166" t="s">
        <v>43</v>
      </c>
      <c r="AQ1" s="106"/>
      <c r="AR1" s="142" t="s">
        <v>44</v>
      </c>
      <c r="AS1" s="143"/>
      <c r="AT1" s="205" t="s">
        <v>28</v>
      </c>
      <c r="AU1" s="213"/>
      <c r="AV1" s="213"/>
      <c r="AW1" s="213"/>
      <c r="AX1" s="213"/>
      <c r="AY1" s="214"/>
      <c r="AZ1" s="166" t="s">
        <v>43</v>
      </c>
      <c r="BA1" s="106"/>
      <c r="BB1" s="106" t="s">
        <v>44</v>
      </c>
      <c r="BC1" s="106"/>
      <c r="BD1" s="222" t="s">
        <v>29</v>
      </c>
      <c r="BE1" s="223"/>
      <c r="BF1" s="166" t="s">
        <v>43</v>
      </c>
      <c r="BG1" s="106"/>
      <c r="BH1" s="274" t="s">
        <v>44</v>
      </c>
      <c r="BI1" s="274"/>
      <c r="BJ1" s="281" t="s">
        <v>27</v>
      </c>
      <c r="BK1" s="282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</row>
    <row r="2" spans="1:104" ht="27.95" customHeight="1" thickTop="1" thickBot="1" x14ac:dyDescent="0.5">
      <c r="A2" s="173"/>
      <c r="B2" s="174"/>
      <c r="C2" s="173"/>
      <c r="D2" s="174"/>
      <c r="E2" s="29">
        <v>79</v>
      </c>
      <c r="F2" s="29">
        <v>80</v>
      </c>
      <c r="G2" s="29">
        <v>85</v>
      </c>
      <c r="H2" s="29" t="s">
        <v>2</v>
      </c>
      <c r="I2" s="21">
        <v>41</v>
      </c>
      <c r="J2" s="20">
        <v>42</v>
      </c>
      <c r="K2" s="173"/>
      <c r="L2" s="174"/>
      <c r="M2" s="173"/>
      <c r="N2" s="174"/>
      <c r="O2" s="29">
        <v>81</v>
      </c>
      <c r="P2" s="29">
        <v>82</v>
      </c>
      <c r="Q2" s="29">
        <v>83</v>
      </c>
      <c r="R2" s="29">
        <v>84</v>
      </c>
      <c r="S2" s="29">
        <v>87</v>
      </c>
      <c r="T2" s="29">
        <v>88</v>
      </c>
      <c r="U2" s="29">
        <v>89</v>
      </c>
      <c r="V2" s="30">
        <v>90</v>
      </c>
      <c r="W2" s="224" t="s">
        <v>1</v>
      </c>
      <c r="X2" s="225"/>
      <c r="Y2" s="173"/>
      <c r="Z2" s="174"/>
      <c r="AA2" s="173"/>
      <c r="AB2" s="174"/>
      <c r="AC2" s="29">
        <v>50</v>
      </c>
      <c r="AD2" s="29">
        <v>51</v>
      </c>
      <c r="AE2" s="29">
        <v>52</v>
      </c>
      <c r="AF2" s="29">
        <v>53</v>
      </c>
      <c r="AG2" s="29">
        <v>54</v>
      </c>
      <c r="AH2" s="29">
        <v>55</v>
      </c>
      <c r="AI2" s="30" t="s">
        <v>3</v>
      </c>
      <c r="AJ2" s="173"/>
      <c r="AK2" s="174"/>
      <c r="AL2" s="173"/>
      <c r="AM2" s="174"/>
      <c r="AN2" s="228" t="s">
        <v>18</v>
      </c>
      <c r="AO2" s="229"/>
      <c r="AP2" s="173"/>
      <c r="AQ2" s="174"/>
      <c r="AR2" s="173"/>
      <c r="AS2" s="174"/>
      <c r="AT2" s="235" t="s">
        <v>20</v>
      </c>
      <c r="AU2" s="236"/>
      <c r="AV2" s="235" t="s">
        <v>21</v>
      </c>
      <c r="AW2" s="236"/>
      <c r="AX2" s="228" t="s">
        <v>5</v>
      </c>
      <c r="AY2" s="229"/>
      <c r="AZ2" s="173"/>
      <c r="BA2" s="174"/>
      <c r="BB2" s="173"/>
      <c r="BC2" s="174"/>
      <c r="BD2" s="228" t="s">
        <v>6</v>
      </c>
      <c r="BE2" s="229"/>
      <c r="BF2" s="173"/>
      <c r="BG2" s="174"/>
      <c r="BH2" s="173"/>
      <c r="BI2" s="174"/>
      <c r="BJ2" s="228" t="s">
        <v>4</v>
      </c>
      <c r="BK2" s="22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</row>
    <row r="3" spans="1:104" ht="32.25" customHeight="1" x14ac:dyDescent="0.45">
      <c r="A3" s="167"/>
      <c r="B3" s="168"/>
      <c r="C3" s="171"/>
      <c r="D3" s="172"/>
      <c r="E3" s="33"/>
      <c r="F3" s="33"/>
      <c r="G3" s="33"/>
      <c r="H3" s="33"/>
      <c r="I3" s="33"/>
      <c r="J3" s="23"/>
      <c r="K3" s="159"/>
      <c r="L3" s="160"/>
      <c r="M3" s="148"/>
      <c r="N3" s="149"/>
      <c r="O3" s="31"/>
      <c r="P3" s="31"/>
      <c r="Q3" s="31"/>
      <c r="R3" s="31"/>
      <c r="S3" s="31"/>
      <c r="T3" s="31"/>
      <c r="U3" s="31"/>
      <c r="V3" s="35"/>
      <c r="W3" s="230">
        <f>SUM(E3:J3,O3:V3,BJ3,AT3:BE3,AC3:AI3,AN3)</f>
        <v>0</v>
      </c>
      <c r="X3" s="231"/>
      <c r="Y3" s="159"/>
      <c r="Z3" s="160"/>
      <c r="AA3" s="232"/>
      <c r="AB3" s="149"/>
      <c r="AC3" s="31"/>
      <c r="AD3" s="31"/>
      <c r="AE3" s="31"/>
      <c r="AF3" s="31"/>
      <c r="AG3" s="31"/>
      <c r="AH3" s="32"/>
      <c r="AI3" s="35"/>
      <c r="AJ3" s="159"/>
      <c r="AK3" s="160"/>
      <c r="AL3" s="148"/>
      <c r="AM3" s="149"/>
      <c r="AN3" s="233"/>
      <c r="AO3" s="234"/>
      <c r="AP3" s="266"/>
      <c r="AQ3" s="267"/>
      <c r="AR3" s="268"/>
      <c r="AS3" s="268"/>
      <c r="AT3" s="264"/>
      <c r="AU3" s="264"/>
      <c r="AV3" s="237"/>
      <c r="AW3" s="237"/>
      <c r="AX3" s="238"/>
      <c r="AY3" s="239"/>
      <c r="AZ3" s="159"/>
      <c r="BA3" s="160"/>
      <c r="BB3" s="270"/>
      <c r="BC3" s="271"/>
      <c r="BD3" s="84"/>
      <c r="BE3" s="85"/>
      <c r="BF3" s="275"/>
      <c r="BG3" s="276"/>
      <c r="BH3" s="265"/>
      <c r="BI3" s="265"/>
      <c r="BJ3" s="283"/>
      <c r="BK3" s="284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</row>
    <row r="4" spans="1:104" ht="32.25" customHeight="1" thickBot="1" x14ac:dyDescent="0.5">
      <c r="A4" s="164"/>
      <c r="B4" s="165"/>
      <c r="C4" s="169"/>
      <c r="D4" s="170"/>
      <c r="E4" s="17"/>
      <c r="F4" s="1"/>
      <c r="G4" s="1"/>
      <c r="H4" s="1"/>
      <c r="I4" s="19"/>
      <c r="J4" s="16"/>
      <c r="K4" s="155"/>
      <c r="L4" s="156"/>
      <c r="M4" s="147"/>
      <c r="N4" s="110"/>
      <c r="O4" s="17"/>
      <c r="P4" s="1"/>
      <c r="Q4" s="1"/>
      <c r="R4" s="1"/>
      <c r="S4" s="1"/>
      <c r="T4" s="1"/>
      <c r="U4" s="1"/>
      <c r="V4" s="16"/>
      <c r="W4" s="157">
        <f>SUM(AN4,BJ4,AT4:BE4)</f>
        <v>0</v>
      </c>
      <c r="X4" s="158"/>
      <c r="Y4" s="155"/>
      <c r="Z4" s="156"/>
      <c r="AA4" s="109"/>
      <c r="AB4" s="110"/>
      <c r="AC4" s="17"/>
      <c r="AD4" s="1"/>
      <c r="AE4" s="1"/>
      <c r="AF4" s="1"/>
      <c r="AG4" s="1"/>
      <c r="AH4" s="36"/>
      <c r="AI4" s="37"/>
      <c r="AJ4" s="93"/>
      <c r="AK4" s="94"/>
      <c r="AL4" s="122"/>
      <c r="AM4" s="123"/>
      <c r="AN4" s="124"/>
      <c r="AO4" s="125"/>
      <c r="AP4" s="242"/>
      <c r="AQ4" s="117"/>
      <c r="AR4" s="115"/>
      <c r="AS4" s="115"/>
      <c r="AT4" s="113"/>
      <c r="AU4" s="113"/>
      <c r="AV4" s="84"/>
      <c r="AW4" s="84"/>
      <c r="AX4" s="113"/>
      <c r="AY4" s="114"/>
      <c r="AZ4" s="93"/>
      <c r="BA4" s="94"/>
      <c r="BB4" s="86"/>
      <c r="BC4" s="87"/>
      <c r="BD4" s="84"/>
      <c r="BE4" s="85"/>
      <c r="BF4" s="277"/>
      <c r="BG4" s="278"/>
      <c r="BH4" s="115"/>
      <c r="BI4" s="115"/>
      <c r="BJ4" s="84"/>
      <c r="BK4" s="85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</row>
    <row r="5" spans="1:104" ht="32.25" customHeight="1" x14ac:dyDescent="0.45">
      <c r="A5" s="167"/>
      <c r="B5" s="168"/>
      <c r="C5" s="171"/>
      <c r="D5" s="172"/>
      <c r="E5" s="33"/>
      <c r="F5" s="33"/>
      <c r="G5" s="33"/>
      <c r="H5" s="33"/>
      <c r="I5" s="33"/>
      <c r="J5" s="23"/>
      <c r="K5" s="159"/>
      <c r="L5" s="160"/>
      <c r="M5" s="148"/>
      <c r="N5" s="149"/>
      <c r="O5" s="31"/>
      <c r="P5" s="31"/>
      <c r="Q5" s="31"/>
      <c r="R5" s="31"/>
      <c r="S5" s="31"/>
      <c r="T5" s="31"/>
      <c r="U5" s="31"/>
      <c r="V5" s="35"/>
      <c r="W5" s="157">
        <f>SUM(E5:J5,O5:V5,BJ5,AT5:BE5,AC5:AI5,AN5)</f>
        <v>0</v>
      </c>
      <c r="X5" s="158"/>
      <c r="Y5" s="159"/>
      <c r="Z5" s="160"/>
      <c r="AA5" s="232"/>
      <c r="AB5" s="149"/>
      <c r="AC5" s="31"/>
      <c r="AD5" s="31"/>
      <c r="AE5" s="31"/>
      <c r="AF5" s="31"/>
      <c r="AG5" s="31"/>
      <c r="AH5" s="32"/>
      <c r="AI5" s="35"/>
      <c r="AJ5" s="93"/>
      <c r="AK5" s="94"/>
      <c r="AL5" s="122"/>
      <c r="AM5" s="123"/>
      <c r="AN5" s="124"/>
      <c r="AO5" s="125"/>
      <c r="AP5" s="242"/>
      <c r="AQ5" s="117"/>
      <c r="AR5" s="115"/>
      <c r="AS5" s="115"/>
      <c r="AT5" s="113"/>
      <c r="AU5" s="113"/>
      <c r="AV5" s="84"/>
      <c r="AW5" s="84"/>
      <c r="AX5" s="113"/>
      <c r="AY5" s="114"/>
      <c r="AZ5" s="93"/>
      <c r="BA5" s="94"/>
      <c r="BB5" s="86"/>
      <c r="BC5" s="87"/>
      <c r="BD5" s="84"/>
      <c r="BE5" s="85"/>
      <c r="BF5" s="277"/>
      <c r="BG5" s="278"/>
      <c r="BH5" s="115"/>
      <c r="BI5" s="115"/>
      <c r="BJ5" s="84"/>
      <c r="BK5" s="85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</row>
    <row r="6" spans="1:104" ht="32.25" customHeight="1" thickBot="1" x14ac:dyDescent="0.5">
      <c r="A6" s="164"/>
      <c r="B6" s="165"/>
      <c r="C6" s="169"/>
      <c r="D6" s="170"/>
      <c r="E6" s="17"/>
      <c r="F6" s="1"/>
      <c r="G6" s="1"/>
      <c r="H6" s="1"/>
      <c r="I6" s="19"/>
      <c r="J6" s="16"/>
      <c r="K6" s="155"/>
      <c r="L6" s="156"/>
      <c r="M6" s="147"/>
      <c r="N6" s="110"/>
      <c r="O6" s="17"/>
      <c r="P6" s="1"/>
      <c r="Q6" s="1"/>
      <c r="R6" s="1"/>
      <c r="S6" s="1"/>
      <c r="T6" s="1"/>
      <c r="U6" s="1"/>
      <c r="V6" s="16"/>
      <c r="W6" s="157">
        <f>SUM(AN6,AT6:BE6)</f>
        <v>0</v>
      </c>
      <c r="X6" s="158"/>
      <c r="Y6" s="155"/>
      <c r="Z6" s="156"/>
      <c r="AA6" s="109"/>
      <c r="AB6" s="110"/>
      <c r="AC6" s="17"/>
      <c r="AD6" s="1"/>
      <c r="AE6" s="1"/>
      <c r="AF6" s="1"/>
      <c r="AG6" s="1"/>
      <c r="AH6" s="36"/>
      <c r="AI6" s="37"/>
      <c r="AJ6" s="93"/>
      <c r="AK6" s="94"/>
      <c r="AL6" s="122"/>
      <c r="AM6" s="123"/>
      <c r="AN6" s="124"/>
      <c r="AO6" s="125"/>
      <c r="AP6" s="242"/>
      <c r="AQ6" s="117"/>
      <c r="AR6" s="115"/>
      <c r="AS6" s="115"/>
      <c r="AT6" s="113"/>
      <c r="AU6" s="113"/>
      <c r="AV6" s="84"/>
      <c r="AW6" s="84"/>
      <c r="AX6" s="113"/>
      <c r="AY6" s="114"/>
      <c r="AZ6" s="93"/>
      <c r="BA6" s="94"/>
      <c r="BB6" s="86"/>
      <c r="BC6" s="87"/>
      <c r="BD6" s="84"/>
      <c r="BE6" s="85"/>
      <c r="BF6" s="277"/>
      <c r="BG6" s="278"/>
      <c r="BH6" s="115"/>
      <c r="BI6" s="115"/>
      <c r="BJ6" s="84"/>
      <c r="BK6" s="85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</row>
    <row r="7" spans="1:104" ht="32.25" customHeight="1" x14ac:dyDescent="0.45">
      <c r="A7" s="167"/>
      <c r="B7" s="168"/>
      <c r="C7" s="171"/>
      <c r="D7" s="172"/>
      <c r="E7" s="33"/>
      <c r="F7" s="33"/>
      <c r="G7" s="33"/>
      <c r="H7" s="33"/>
      <c r="I7" s="33"/>
      <c r="J7" s="23"/>
      <c r="K7" s="159"/>
      <c r="L7" s="160"/>
      <c r="M7" s="148"/>
      <c r="N7" s="149"/>
      <c r="O7" s="31"/>
      <c r="P7" s="31"/>
      <c r="Q7" s="31"/>
      <c r="R7" s="31"/>
      <c r="S7" s="31"/>
      <c r="T7" s="31"/>
      <c r="U7" s="31"/>
      <c r="V7" s="35"/>
      <c r="W7" s="157">
        <f>SUM(E7:J7,O7:V7,AT7:BE7,AC7:AI7,AN7)</f>
        <v>0</v>
      </c>
      <c r="X7" s="158"/>
      <c r="Y7" s="159"/>
      <c r="Z7" s="160"/>
      <c r="AA7" s="232"/>
      <c r="AB7" s="149"/>
      <c r="AC7" s="31"/>
      <c r="AD7" s="31"/>
      <c r="AE7" s="31"/>
      <c r="AF7" s="31"/>
      <c r="AG7" s="31"/>
      <c r="AH7" s="32"/>
      <c r="AI7" s="35"/>
      <c r="AJ7" s="93"/>
      <c r="AK7" s="94"/>
      <c r="AL7" s="122"/>
      <c r="AM7" s="123"/>
      <c r="AN7" s="124"/>
      <c r="AO7" s="125"/>
      <c r="AP7" s="242"/>
      <c r="AQ7" s="117"/>
      <c r="AR7" s="115"/>
      <c r="AS7" s="115"/>
      <c r="AT7" s="113"/>
      <c r="AU7" s="113"/>
      <c r="AV7" s="84"/>
      <c r="AW7" s="84"/>
      <c r="AX7" s="113"/>
      <c r="AY7" s="114"/>
      <c r="AZ7" s="93"/>
      <c r="BA7" s="94"/>
      <c r="BB7" s="86"/>
      <c r="BC7" s="87"/>
      <c r="BD7" s="84"/>
      <c r="BE7" s="85"/>
      <c r="BF7" s="277"/>
      <c r="BG7" s="278"/>
      <c r="BH7" s="115"/>
      <c r="BI7" s="115"/>
      <c r="BJ7" s="84"/>
      <c r="BK7" s="85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</row>
    <row r="8" spans="1:104" ht="32.25" customHeight="1" thickBot="1" x14ac:dyDescent="0.5">
      <c r="A8" s="164"/>
      <c r="B8" s="165"/>
      <c r="C8" s="169"/>
      <c r="D8" s="170"/>
      <c r="E8" s="17"/>
      <c r="F8" s="1"/>
      <c r="G8" s="1"/>
      <c r="H8" s="1"/>
      <c r="I8" s="19"/>
      <c r="J8" s="16"/>
      <c r="K8" s="155"/>
      <c r="L8" s="156"/>
      <c r="M8" s="147"/>
      <c r="N8" s="110"/>
      <c r="O8" s="17"/>
      <c r="P8" s="1"/>
      <c r="Q8" s="1"/>
      <c r="R8" s="1"/>
      <c r="S8" s="1"/>
      <c r="T8" s="1"/>
      <c r="U8" s="1"/>
      <c r="V8" s="16"/>
      <c r="W8" s="157">
        <f>SUM(AN8,AT8:AY8,BD8,BJ8)</f>
        <v>0</v>
      </c>
      <c r="X8" s="158"/>
      <c r="Y8" s="155"/>
      <c r="Z8" s="156"/>
      <c r="AA8" s="109"/>
      <c r="AB8" s="110"/>
      <c r="AC8" s="17"/>
      <c r="AD8" s="1"/>
      <c r="AE8" s="1"/>
      <c r="AF8" s="1"/>
      <c r="AG8" s="1"/>
      <c r="AH8" s="36"/>
      <c r="AI8" s="37"/>
      <c r="AJ8" s="93"/>
      <c r="AK8" s="94"/>
      <c r="AL8" s="122"/>
      <c r="AM8" s="123"/>
      <c r="AN8" s="240"/>
      <c r="AO8" s="241"/>
      <c r="AP8" s="242"/>
      <c r="AQ8" s="117"/>
      <c r="AR8" s="115"/>
      <c r="AS8" s="115"/>
      <c r="AT8" s="113"/>
      <c r="AU8" s="113"/>
      <c r="AV8" s="84"/>
      <c r="AW8" s="84"/>
      <c r="AX8" s="113"/>
      <c r="AY8" s="114"/>
      <c r="AZ8" s="93"/>
      <c r="BA8" s="94"/>
      <c r="BB8" s="86"/>
      <c r="BC8" s="87"/>
      <c r="BD8" s="84"/>
      <c r="BE8" s="85"/>
      <c r="BF8" s="277"/>
      <c r="BG8" s="278"/>
      <c r="BH8" s="115"/>
      <c r="BI8" s="115"/>
      <c r="BJ8" s="84"/>
      <c r="BK8" s="85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</row>
    <row r="9" spans="1:104" ht="32.25" customHeight="1" x14ac:dyDescent="0.45">
      <c r="A9" s="167"/>
      <c r="B9" s="168"/>
      <c r="C9" s="171"/>
      <c r="D9" s="172"/>
      <c r="E9" s="33"/>
      <c r="F9" s="33"/>
      <c r="G9" s="33"/>
      <c r="H9" s="33"/>
      <c r="I9" s="33"/>
      <c r="J9" s="23"/>
      <c r="K9" s="159"/>
      <c r="L9" s="160"/>
      <c r="M9" s="148"/>
      <c r="N9" s="149"/>
      <c r="O9" s="31"/>
      <c r="P9" s="31"/>
      <c r="Q9" s="31"/>
      <c r="R9" s="31"/>
      <c r="S9" s="31"/>
      <c r="T9" s="31"/>
      <c r="U9" s="31"/>
      <c r="V9" s="35"/>
      <c r="W9" s="157">
        <f>SUM(E9:J9,O9:V9,AC9:AI9,AN9,AT9:AY9,BD9,BJ9)</f>
        <v>0</v>
      </c>
      <c r="X9" s="158"/>
      <c r="Y9" s="159"/>
      <c r="Z9" s="160"/>
      <c r="AA9" s="232"/>
      <c r="AB9" s="149"/>
      <c r="AC9" s="31"/>
      <c r="AD9" s="31"/>
      <c r="AE9" s="31"/>
      <c r="AF9" s="31"/>
      <c r="AG9" s="31"/>
      <c r="AH9" s="32"/>
      <c r="AI9" s="35"/>
      <c r="AJ9" s="93"/>
      <c r="AK9" s="94"/>
      <c r="AL9" s="122"/>
      <c r="AM9" s="123"/>
      <c r="AN9" s="124"/>
      <c r="AO9" s="125"/>
      <c r="AP9" s="242"/>
      <c r="AQ9" s="117"/>
      <c r="AR9" s="115"/>
      <c r="AS9" s="115"/>
      <c r="AT9" s="113"/>
      <c r="AU9" s="113"/>
      <c r="AV9" s="84"/>
      <c r="AW9" s="84"/>
      <c r="AX9" s="113"/>
      <c r="AY9" s="114"/>
      <c r="AZ9" s="93"/>
      <c r="BA9" s="94"/>
      <c r="BB9" s="86"/>
      <c r="BC9" s="87"/>
      <c r="BD9" s="84"/>
      <c r="BE9" s="85"/>
      <c r="BF9" s="277"/>
      <c r="BG9" s="278"/>
      <c r="BH9" s="115"/>
      <c r="BI9" s="115"/>
      <c r="BJ9" s="84"/>
      <c r="BK9" s="85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</row>
    <row r="10" spans="1:104" ht="32.25" customHeight="1" thickBot="1" x14ac:dyDescent="0.5">
      <c r="A10" s="164"/>
      <c r="B10" s="165"/>
      <c r="C10" s="169"/>
      <c r="D10" s="170"/>
      <c r="E10" s="17"/>
      <c r="F10" s="1"/>
      <c r="G10" s="1"/>
      <c r="H10" s="1"/>
      <c r="I10" s="19"/>
      <c r="J10" s="16"/>
      <c r="K10" s="155"/>
      <c r="L10" s="156"/>
      <c r="M10" s="147"/>
      <c r="N10" s="110"/>
      <c r="O10" s="17"/>
      <c r="P10" s="1"/>
      <c r="Q10" s="1"/>
      <c r="R10" s="1"/>
      <c r="S10" s="1"/>
      <c r="T10" s="1"/>
      <c r="U10" s="1"/>
      <c r="V10" s="16"/>
      <c r="W10" s="157">
        <f>SUM(AN10,AT10:AY10,BD10,BJ10)</f>
        <v>0</v>
      </c>
      <c r="X10" s="158"/>
      <c r="Y10" s="155"/>
      <c r="Z10" s="156"/>
      <c r="AA10" s="109"/>
      <c r="AB10" s="110"/>
      <c r="AC10" s="17"/>
      <c r="AD10" s="1"/>
      <c r="AE10" s="1"/>
      <c r="AF10" s="1"/>
      <c r="AG10" s="1"/>
      <c r="AH10" s="36"/>
      <c r="AI10" s="37"/>
      <c r="AJ10" s="93"/>
      <c r="AK10" s="94"/>
      <c r="AL10" s="122"/>
      <c r="AM10" s="123"/>
      <c r="AN10" s="124"/>
      <c r="AO10" s="125"/>
      <c r="AP10" s="242"/>
      <c r="AQ10" s="117"/>
      <c r="AR10" s="115"/>
      <c r="AS10" s="115"/>
      <c r="AT10" s="113"/>
      <c r="AU10" s="113"/>
      <c r="AV10" s="84"/>
      <c r="AW10" s="84"/>
      <c r="AX10" s="113"/>
      <c r="AY10" s="114"/>
      <c r="AZ10" s="93"/>
      <c r="BA10" s="94"/>
      <c r="BB10" s="86"/>
      <c r="BC10" s="87"/>
      <c r="BD10" s="84"/>
      <c r="BE10" s="85"/>
      <c r="BF10" s="277"/>
      <c r="BG10" s="278"/>
      <c r="BH10" s="115"/>
      <c r="BI10" s="115"/>
      <c r="BJ10" s="84"/>
      <c r="BK10" s="85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</row>
    <row r="11" spans="1:104" ht="32.25" customHeight="1" x14ac:dyDescent="0.45">
      <c r="A11" s="167"/>
      <c r="B11" s="168"/>
      <c r="C11" s="171"/>
      <c r="D11" s="172"/>
      <c r="E11" s="33"/>
      <c r="F11" s="33"/>
      <c r="G11" s="33"/>
      <c r="H11" s="33"/>
      <c r="I11" s="33"/>
      <c r="J11" s="23"/>
      <c r="K11" s="159"/>
      <c r="L11" s="160"/>
      <c r="M11" s="148"/>
      <c r="N11" s="149"/>
      <c r="O11" s="31"/>
      <c r="P11" s="31"/>
      <c r="Q11" s="31"/>
      <c r="R11" s="31"/>
      <c r="S11" s="31"/>
      <c r="T11" s="31"/>
      <c r="U11" s="31"/>
      <c r="V11" s="35"/>
      <c r="W11" s="157">
        <f>SUM(E11:J11,O11:V11,AC11:AI11,AN11,AT11:AY11,BD11,BJ11)</f>
        <v>0</v>
      </c>
      <c r="X11" s="158"/>
      <c r="Y11" s="159"/>
      <c r="Z11" s="160"/>
      <c r="AA11" s="232"/>
      <c r="AB11" s="149"/>
      <c r="AC11" s="31"/>
      <c r="AD11" s="31"/>
      <c r="AE11" s="31"/>
      <c r="AF11" s="31"/>
      <c r="AG11" s="31"/>
      <c r="AH11" s="32"/>
      <c r="AI11" s="35"/>
      <c r="AJ11" s="93"/>
      <c r="AK11" s="94"/>
      <c r="AL11" s="122"/>
      <c r="AM11" s="123"/>
      <c r="AN11" s="124"/>
      <c r="AO11" s="125"/>
      <c r="AP11" s="242"/>
      <c r="AQ11" s="117"/>
      <c r="AR11" s="115"/>
      <c r="AS11" s="115"/>
      <c r="AT11" s="113"/>
      <c r="AU11" s="113"/>
      <c r="AV11" s="84"/>
      <c r="AW11" s="84"/>
      <c r="AX11" s="113"/>
      <c r="AY11" s="114"/>
      <c r="AZ11" s="93"/>
      <c r="BA11" s="94"/>
      <c r="BB11" s="86"/>
      <c r="BC11" s="87"/>
      <c r="BD11" s="84"/>
      <c r="BE11" s="85"/>
      <c r="BF11" s="277"/>
      <c r="BG11" s="278"/>
      <c r="BH11" s="115"/>
      <c r="BI11" s="115"/>
      <c r="BJ11" s="84"/>
      <c r="BK11" s="85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</row>
    <row r="12" spans="1:104" ht="32.25" customHeight="1" thickBot="1" x14ac:dyDescent="0.5">
      <c r="A12" s="164"/>
      <c r="B12" s="165"/>
      <c r="C12" s="169"/>
      <c r="D12" s="170"/>
      <c r="E12" s="17"/>
      <c r="F12" s="1"/>
      <c r="G12" s="1"/>
      <c r="H12" s="1"/>
      <c r="I12" s="19"/>
      <c r="J12" s="16"/>
      <c r="K12" s="155"/>
      <c r="L12" s="156"/>
      <c r="M12" s="147"/>
      <c r="N12" s="110"/>
      <c r="O12" s="17"/>
      <c r="P12" s="1"/>
      <c r="Q12" s="1"/>
      <c r="R12" s="1"/>
      <c r="S12" s="1"/>
      <c r="T12" s="1"/>
      <c r="U12" s="1"/>
      <c r="V12" s="16"/>
      <c r="W12" s="157">
        <f>SUM(AN12,AT12:AY12,BD12,BJ12)</f>
        <v>0</v>
      </c>
      <c r="X12" s="158"/>
      <c r="Y12" s="155"/>
      <c r="Z12" s="156"/>
      <c r="AA12" s="109"/>
      <c r="AB12" s="110"/>
      <c r="AC12" s="17"/>
      <c r="AD12" s="1"/>
      <c r="AE12" s="1"/>
      <c r="AF12" s="1"/>
      <c r="AG12" s="1"/>
      <c r="AH12" s="36"/>
      <c r="AI12" s="37"/>
      <c r="AJ12" s="93"/>
      <c r="AK12" s="94"/>
      <c r="AL12" s="122"/>
      <c r="AM12" s="123"/>
      <c r="AN12" s="124"/>
      <c r="AO12" s="125"/>
      <c r="AP12" s="242"/>
      <c r="AQ12" s="117"/>
      <c r="AR12" s="115"/>
      <c r="AS12" s="115"/>
      <c r="AT12" s="113"/>
      <c r="AU12" s="113"/>
      <c r="AV12" s="84"/>
      <c r="AW12" s="84"/>
      <c r="AX12" s="113"/>
      <c r="AY12" s="114"/>
      <c r="AZ12" s="93"/>
      <c r="BA12" s="94"/>
      <c r="BB12" s="86"/>
      <c r="BC12" s="87"/>
      <c r="BD12" s="84"/>
      <c r="BE12" s="85"/>
      <c r="BF12" s="277"/>
      <c r="BG12" s="278"/>
      <c r="BH12" s="115"/>
      <c r="BI12" s="115"/>
      <c r="BJ12" s="84"/>
      <c r="BK12" s="85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</row>
    <row r="13" spans="1:104" ht="32.25" customHeight="1" x14ac:dyDescent="0.45">
      <c r="A13" s="167"/>
      <c r="B13" s="168"/>
      <c r="C13" s="171"/>
      <c r="D13" s="172"/>
      <c r="E13" s="33"/>
      <c r="F13" s="33"/>
      <c r="G13" s="33"/>
      <c r="H13" s="33"/>
      <c r="I13" s="33"/>
      <c r="J13" s="23"/>
      <c r="K13" s="159"/>
      <c r="L13" s="160"/>
      <c r="M13" s="148"/>
      <c r="N13" s="149"/>
      <c r="O13" s="31"/>
      <c r="P13" s="31"/>
      <c r="Q13" s="31"/>
      <c r="R13" s="31"/>
      <c r="S13" s="31"/>
      <c r="T13" s="31"/>
      <c r="U13" s="31"/>
      <c r="V13" s="35"/>
      <c r="W13" s="157">
        <f>SUM(E13:J13,O13:V13,AC13:AI13,AN13,AT13:AY13,BD13,BJ13)</f>
        <v>0</v>
      </c>
      <c r="X13" s="158"/>
      <c r="Y13" s="159"/>
      <c r="Z13" s="160"/>
      <c r="AA13" s="232"/>
      <c r="AB13" s="149"/>
      <c r="AC13" s="31"/>
      <c r="AD13" s="31"/>
      <c r="AE13" s="31"/>
      <c r="AF13" s="31"/>
      <c r="AG13" s="31"/>
      <c r="AH13" s="32"/>
      <c r="AI13" s="35"/>
      <c r="AJ13" s="93"/>
      <c r="AK13" s="94"/>
      <c r="AL13" s="122"/>
      <c r="AM13" s="123"/>
      <c r="AN13" s="124"/>
      <c r="AO13" s="125"/>
      <c r="AP13" s="242"/>
      <c r="AQ13" s="117"/>
      <c r="AR13" s="115"/>
      <c r="AS13" s="115"/>
      <c r="AT13" s="113"/>
      <c r="AU13" s="113"/>
      <c r="AV13" s="84"/>
      <c r="AW13" s="84"/>
      <c r="AX13" s="113"/>
      <c r="AY13" s="114"/>
      <c r="AZ13" s="93"/>
      <c r="BA13" s="94"/>
      <c r="BB13" s="86"/>
      <c r="BC13" s="87"/>
      <c r="BD13" s="84"/>
      <c r="BE13" s="85"/>
      <c r="BF13" s="277"/>
      <c r="BG13" s="278"/>
      <c r="BH13" s="115"/>
      <c r="BI13" s="115"/>
      <c r="BJ13" s="84"/>
      <c r="BK13" s="85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</row>
    <row r="14" spans="1:104" ht="32.25" customHeight="1" thickBot="1" x14ac:dyDescent="0.5">
      <c r="A14" s="164"/>
      <c r="B14" s="165"/>
      <c r="C14" s="169"/>
      <c r="D14" s="170"/>
      <c r="E14" s="17"/>
      <c r="F14" s="1"/>
      <c r="G14" s="1"/>
      <c r="H14" s="1"/>
      <c r="I14" s="19"/>
      <c r="J14" s="16"/>
      <c r="K14" s="155"/>
      <c r="L14" s="156"/>
      <c r="M14" s="147"/>
      <c r="N14" s="110"/>
      <c r="O14" s="17"/>
      <c r="P14" s="1"/>
      <c r="Q14" s="1"/>
      <c r="R14" s="1"/>
      <c r="S14" s="1"/>
      <c r="T14" s="1"/>
      <c r="U14" s="1"/>
      <c r="V14" s="16"/>
      <c r="W14" s="157">
        <f>SUM(AN14,AT14:AY14,BD14,BJ14)</f>
        <v>0</v>
      </c>
      <c r="X14" s="158"/>
      <c r="Y14" s="155"/>
      <c r="Z14" s="156"/>
      <c r="AA14" s="109"/>
      <c r="AB14" s="110"/>
      <c r="AC14" s="17"/>
      <c r="AD14" s="1"/>
      <c r="AE14" s="1"/>
      <c r="AF14" s="1"/>
      <c r="AG14" s="1"/>
      <c r="AH14" s="36"/>
      <c r="AI14" s="37"/>
      <c r="AJ14" s="101"/>
      <c r="AK14" s="102"/>
      <c r="AL14" s="126"/>
      <c r="AM14" s="127"/>
      <c r="AN14" s="128"/>
      <c r="AO14" s="129"/>
      <c r="AP14" s="269"/>
      <c r="AQ14" s="121"/>
      <c r="AR14" s="92"/>
      <c r="AS14" s="92"/>
      <c r="AT14" s="95"/>
      <c r="AU14" s="95"/>
      <c r="AV14" s="90"/>
      <c r="AW14" s="90"/>
      <c r="AX14" s="95"/>
      <c r="AY14" s="96"/>
      <c r="AZ14" s="101"/>
      <c r="BA14" s="102"/>
      <c r="BB14" s="88"/>
      <c r="BC14" s="89"/>
      <c r="BD14" s="90"/>
      <c r="BE14" s="91"/>
      <c r="BF14" s="279"/>
      <c r="BG14" s="280"/>
      <c r="BH14" s="92"/>
      <c r="BI14" s="92"/>
      <c r="BJ14" s="90"/>
      <c r="BK14" s="91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</row>
    <row r="15" spans="1:104" ht="32.25" customHeight="1" thickTop="1" thickBot="1" x14ac:dyDescent="0.3">
      <c r="A15" s="167"/>
      <c r="B15" s="168"/>
      <c r="C15" s="171"/>
      <c r="D15" s="172"/>
      <c r="E15" s="33"/>
      <c r="F15" s="33"/>
      <c r="G15" s="33"/>
      <c r="H15" s="33"/>
      <c r="I15" s="33"/>
      <c r="J15" s="23"/>
      <c r="K15" s="159"/>
      <c r="L15" s="160"/>
      <c r="M15" s="148"/>
      <c r="N15" s="149"/>
      <c r="O15" s="31"/>
      <c r="P15" s="31"/>
      <c r="Q15" s="31"/>
      <c r="R15" s="31"/>
      <c r="S15" s="31"/>
      <c r="T15" s="31"/>
      <c r="U15" s="31"/>
      <c r="V15" s="35"/>
      <c r="W15" s="157">
        <f>SUM(E15:J15,O15:V15,AC15:AI15)</f>
        <v>0</v>
      </c>
      <c r="X15" s="158"/>
      <c r="Y15" s="159"/>
      <c r="Z15" s="160"/>
      <c r="AA15" s="232"/>
      <c r="AB15" s="149"/>
      <c r="AC15" s="31"/>
      <c r="AD15" s="31"/>
      <c r="AE15" s="31"/>
      <c r="AF15" s="31"/>
      <c r="AG15" s="31"/>
      <c r="AH15" s="32"/>
      <c r="AI15" s="35"/>
      <c r="AJ15" s="166" t="s">
        <v>43</v>
      </c>
      <c r="AK15" s="106"/>
      <c r="AL15" s="106" t="s">
        <v>44</v>
      </c>
      <c r="AM15" s="106"/>
      <c r="AN15" s="205" t="s">
        <v>30</v>
      </c>
      <c r="AO15" s="214"/>
      <c r="AP15" s="166" t="s">
        <v>43</v>
      </c>
      <c r="AQ15" s="106"/>
      <c r="AR15" s="142" t="s">
        <v>44</v>
      </c>
      <c r="AS15" s="143"/>
      <c r="AT15" s="205" t="s">
        <v>31</v>
      </c>
      <c r="AU15" s="213"/>
      <c r="AV15" s="213"/>
      <c r="AW15" s="214"/>
      <c r="AX15" s="8"/>
      <c r="AY15" s="8"/>
      <c r="AZ15" s="166" t="s">
        <v>43</v>
      </c>
      <c r="BA15" s="106"/>
      <c r="BB15" s="107" t="s">
        <v>44</v>
      </c>
      <c r="BC15" s="108"/>
      <c r="BD15" s="211" t="s">
        <v>35</v>
      </c>
      <c r="BE15" s="214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</row>
    <row r="16" spans="1:104" ht="32.25" customHeight="1" thickBot="1" x14ac:dyDescent="0.5">
      <c r="A16" s="164"/>
      <c r="B16" s="165"/>
      <c r="C16" s="169"/>
      <c r="D16" s="170"/>
      <c r="E16" s="17"/>
      <c r="F16" s="1"/>
      <c r="G16" s="1"/>
      <c r="H16" s="1"/>
      <c r="I16" s="19"/>
      <c r="J16" s="16"/>
      <c r="K16" s="155"/>
      <c r="L16" s="156"/>
      <c r="M16" s="147"/>
      <c r="N16" s="110"/>
      <c r="O16" s="17"/>
      <c r="P16" s="1"/>
      <c r="Q16" s="1"/>
      <c r="R16" s="1"/>
      <c r="S16" s="1"/>
      <c r="T16" s="1"/>
      <c r="U16" s="1"/>
      <c r="V16" s="16"/>
      <c r="W16" s="153"/>
      <c r="X16" s="154"/>
      <c r="Y16" s="155"/>
      <c r="Z16" s="156"/>
      <c r="AA16" s="109"/>
      <c r="AB16" s="110"/>
      <c r="AC16" s="17"/>
      <c r="AD16" s="1"/>
      <c r="AE16" s="1"/>
      <c r="AF16" s="1"/>
      <c r="AG16" s="1"/>
      <c r="AH16" s="36"/>
      <c r="AI16" s="37"/>
      <c r="AJ16" s="173"/>
      <c r="AK16" s="174"/>
      <c r="AL16" s="173"/>
      <c r="AM16" s="174"/>
      <c r="AN16" s="247" t="s">
        <v>7</v>
      </c>
      <c r="AO16" s="248"/>
      <c r="AP16" s="173"/>
      <c r="AQ16" s="174"/>
      <c r="AR16" s="173"/>
      <c r="AS16" s="174"/>
      <c r="AT16" s="291" t="s">
        <v>34</v>
      </c>
      <c r="AU16" s="292"/>
      <c r="AV16" s="140" t="s">
        <v>33</v>
      </c>
      <c r="AW16" s="141"/>
      <c r="AX16" s="8"/>
      <c r="AY16" s="8"/>
      <c r="AZ16" s="173"/>
      <c r="BA16" s="174"/>
      <c r="BB16" s="173"/>
      <c r="BC16" s="174"/>
      <c r="BD16" s="228" t="s">
        <v>36</v>
      </c>
      <c r="BE16" s="229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</row>
    <row r="17" spans="1:104" ht="32.25" customHeight="1" x14ac:dyDescent="0.45">
      <c r="A17" s="167"/>
      <c r="B17" s="168"/>
      <c r="C17" s="171"/>
      <c r="D17" s="172"/>
      <c r="E17" s="33"/>
      <c r="F17" s="33"/>
      <c r="G17" s="33"/>
      <c r="H17" s="33"/>
      <c r="I17" s="33"/>
      <c r="J17" s="23"/>
      <c r="K17" s="159"/>
      <c r="L17" s="160"/>
      <c r="M17" s="148"/>
      <c r="N17" s="149"/>
      <c r="O17" s="31"/>
      <c r="P17" s="31"/>
      <c r="Q17" s="31"/>
      <c r="R17" s="31"/>
      <c r="S17" s="31"/>
      <c r="T17" s="31"/>
      <c r="U17" s="31"/>
      <c r="V17" s="35"/>
      <c r="W17" s="157">
        <f>SUM(E17:J17,O17:V17,AC17:AI17,AN17,AT17:AW17,BD17)</f>
        <v>0</v>
      </c>
      <c r="X17" s="158"/>
      <c r="Y17" s="159"/>
      <c r="Z17" s="160"/>
      <c r="AA17" s="232"/>
      <c r="AB17" s="149"/>
      <c r="AC17" s="31"/>
      <c r="AD17" s="31"/>
      <c r="AE17" s="31"/>
      <c r="AF17" s="31"/>
      <c r="AG17" s="31"/>
      <c r="AH17" s="32"/>
      <c r="AI17" s="35"/>
      <c r="AJ17" s="131"/>
      <c r="AK17" s="132"/>
      <c r="AL17" s="82"/>
      <c r="AM17" s="83"/>
      <c r="AN17" s="243"/>
      <c r="AO17" s="244"/>
      <c r="AP17" s="249"/>
      <c r="AQ17" s="250"/>
      <c r="AR17" s="265"/>
      <c r="AS17" s="265"/>
      <c r="AT17" s="113"/>
      <c r="AU17" s="113"/>
      <c r="AV17" s="113"/>
      <c r="AW17" s="114"/>
      <c r="AX17" s="8"/>
      <c r="AY17" s="8"/>
      <c r="AZ17" s="131"/>
      <c r="BA17" s="132"/>
      <c r="BB17" s="82"/>
      <c r="BC17" s="83"/>
      <c r="BD17" s="84"/>
      <c r="BE17" s="85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</row>
    <row r="18" spans="1:104" ht="32.25" customHeight="1" thickBot="1" x14ac:dyDescent="0.5">
      <c r="A18" s="164"/>
      <c r="B18" s="165"/>
      <c r="C18" s="169"/>
      <c r="D18" s="170"/>
      <c r="E18" s="17"/>
      <c r="F18" s="1"/>
      <c r="G18" s="1"/>
      <c r="H18" s="1"/>
      <c r="I18" s="19"/>
      <c r="J18" s="16"/>
      <c r="K18" s="155"/>
      <c r="L18" s="156"/>
      <c r="M18" s="147"/>
      <c r="N18" s="110"/>
      <c r="O18" s="17"/>
      <c r="P18" s="1"/>
      <c r="Q18" s="1"/>
      <c r="R18" s="1"/>
      <c r="S18" s="1"/>
      <c r="T18" s="1"/>
      <c r="U18" s="1"/>
      <c r="V18" s="16"/>
      <c r="W18" s="157">
        <f>SUM(AN18,AT18,AV18,BD18)</f>
        <v>0</v>
      </c>
      <c r="X18" s="158"/>
      <c r="Y18" s="155"/>
      <c r="Z18" s="156"/>
      <c r="AA18" s="109"/>
      <c r="AB18" s="110"/>
      <c r="AC18" s="17"/>
      <c r="AD18" s="1"/>
      <c r="AE18" s="1"/>
      <c r="AF18" s="1"/>
      <c r="AG18" s="1"/>
      <c r="AH18" s="36"/>
      <c r="AI18" s="37"/>
      <c r="AJ18" s="93"/>
      <c r="AK18" s="94"/>
      <c r="AL18" s="86"/>
      <c r="AM18" s="87"/>
      <c r="AN18" s="245"/>
      <c r="AO18" s="246"/>
      <c r="AP18" s="116"/>
      <c r="AQ18" s="117"/>
      <c r="AR18" s="115"/>
      <c r="AS18" s="115"/>
      <c r="AT18" s="113"/>
      <c r="AU18" s="113"/>
      <c r="AV18" s="113"/>
      <c r="AW18" s="114"/>
      <c r="AX18" s="8"/>
      <c r="AY18" s="8"/>
      <c r="AZ18" s="93"/>
      <c r="BA18" s="94"/>
      <c r="BB18" s="86"/>
      <c r="BC18" s="87"/>
      <c r="BD18" s="84"/>
      <c r="BE18" s="85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</row>
    <row r="19" spans="1:104" ht="32.25" customHeight="1" x14ac:dyDescent="0.45">
      <c r="A19" s="167"/>
      <c r="B19" s="168"/>
      <c r="C19" s="171"/>
      <c r="D19" s="172"/>
      <c r="E19" s="33"/>
      <c r="F19" s="33"/>
      <c r="G19" s="33"/>
      <c r="H19" s="33"/>
      <c r="I19" s="33"/>
      <c r="J19" s="23"/>
      <c r="K19" s="159"/>
      <c r="L19" s="160"/>
      <c r="M19" s="148"/>
      <c r="N19" s="149"/>
      <c r="O19" s="31"/>
      <c r="P19" s="31"/>
      <c r="Q19" s="31"/>
      <c r="R19" s="31"/>
      <c r="S19" s="31"/>
      <c r="T19" s="31"/>
      <c r="U19" s="31"/>
      <c r="V19" s="35"/>
      <c r="W19" s="157">
        <f>SUM(E19:J19,O19:V19,AC19:AI19,AN19,AT19:AW19,BD19)</f>
        <v>0</v>
      </c>
      <c r="X19" s="158"/>
      <c r="Y19" s="159"/>
      <c r="Z19" s="160"/>
      <c r="AA19" s="232"/>
      <c r="AB19" s="149"/>
      <c r="AC19" s="31"/>
      <c r="AD19" s="31"/>
      <c r="AE19" s="31"/>
      <c r="AF19" s="31"/>
      <c r="AG19" s="31"/>
      <c r="AH19" s="32"/>
      <c r="AI19" s="35"/>
      <c r="AJ19" s="93"/>
      <c r="AK19" s="94"/>
      <c r="AL19" s="86"/>
      <c r="AM19" s="87"/>
      <c r="AN19" s="245"/>
      <c r="AO19" s="246"/>
      <c r="AP19" s="116"/>
      <c r="AQ19" s="117"/>
      <c r="AR19" s="115"/>
      <c r="AS19" s="115"/>
      <c r="AT19" s="113"/>
      <c r="AU19" s="113"/>
      <c r="AV19" s="113"/>
      <c r="AW19" s="114"/>
      <c r="AX19" s="8"/>
      <c r="AY19" s="8"/>
      <c r="AZ19" s="93"/>
      <c r="BA19" s="94"/>
      <c r="BB19" s="86"/>
      <c r="BC19" s="87"/>
      <c r="BD19" s="84"/>
      <c r="BE19" s="85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</row>
    <row r="20" spans="1:104" ht="32.25" customHeight="1" thickBot="1" x14ac:dyDescent="0.5">
      <c r="A20" s="164"/>
      <c r="B20" s="165"/>
      <c r="C20" s="169"/>
      <c r="D20" s="170"/>
      <c r="E20" s="17"/>
      <c r="F20" s="1"/>
      <c r="G20" s="1"/>
      <c r="H20" s="1"/>
      <c r="I20" s="19"/>
      <c r="J20" s="16"/>
      <c r="K20" s="155"/>
      <c r="L20" s="156"/>
      <c r="M20" s="147"/>
      <c r="N20" s="110"/>
      <c r="O20" s="17"/>
      <c r="P20" s="1"/>
      <c r="Q20" s="1"/>
      <c r="R20" s="1"/>
      <c r="S20" s="1"/>
      <c r="T20" s="1"/>
      <c r="U20" s="1"/>
      <c r="V20" s="16"/>
      <c r="W20" s="157">
        <f>SUM(AN20,AT20,AV20,BD20)</f>
        <v>0</v>
      </c>
      <c r="X20" s="158"/>
      <c r="Y20" s="155"/>
      <c r="Z20" s="156"/>
      <c r="AA20" s="109"/>
      <c r="AB20" s="110"/>
      <c r="AC20" s="17"/>
      <c r="AD20" s="1"/>
      <c r="AE20" s="1"/>
      <c r="AF20" s="1"/>
      <c r="AG20" s="1"/>
      <c r="AH20" s="36"/>
      <c r="AI20" s="37"/>
      <c r="AJ20" s="93"/>
      <c r="AK20" s="94"/>
      <c r="AL20" s="86"/>
      <c r="AM20" s="87"/>
      <c r="AN20" s="245"/>
      <c r="AO20" s="246"/>
      <c r="AP20" s="116"/>
      <c r="AQ20" s="117"/>
      <c r="AR20" s="115"/>
      <c r="AS20" s="115"/>
      <c r="AT20" s="113"/>
      <c r="AU20" s="113"/>
      <c r="AV20" s="113"/>
      <c r="AW20" s="114"/>
      <c r="AX20" s="8"/>
      <c r="AY20" s="8"/>
      <c r="AZ20" s="93"/>
      <c r="BA20" s="94"/>
      <c r="BB20" s="86"/>
      <c r="BC20" s="87"/>
      <c r="BD20" s="84"/>
      <c r="BE20" s="85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</row>
    <row r="21" spans="1:104" ht="32.25" customHeight="1" x14ac:dyDescent="0.45">
      <c r="A21" s="167"/>
      <c r="B21" s="168"/>
      <c r="C21" s="171"/>
      <c r="D21" s="172"/>
      <c r="E21" s="33"/>
      <c r="F21" s="33"/>
      <c r="G21" s="33"/>
      <c r="H21" s="33"/>
      <c r="I21" s="33"/>
      <c r="J21" s="23"/>
      <c r="K21" s="159"/>
      <c r="L21" s="160"/>
      <c r="M21" s="148"/>
      <c r="N21" s="149"/>
      <c r="O21" s="31"/>
      <c r="P21" s="31"/>
      <c r="Q21" s="31"/>
      <c r="R21" s="31"/>
      <c r="S21" s="31"/>
      <c r="T21" s="31"/>
      <c r="U21" s="31"/>
      <c r="V21" s="35"/>
      <c r="W21" s="157">
        <f>SUM(E21:J21,O21:V21,AC21:AI21,AN21,AT21:AW21,BD21)</f>
        <v>0</v>
      </c>
      <c r="X21" s="158"/>
      <c r="Y21" s="159"/>
      <c r="Z21" s="160"/>
      <c r="AA21" s="232"/>
      <c r="AB21" s="149"/>
      <c r="AC21" s="31"/>
      <c r="AD21" s="31"/>
      <c r="AE21" s="31"/>
      <c r="AF21" s="31"/>
      <c r="AG21" s="31"/>
      <c r="AH21" s="32"/>
      <c r="AI21" s="35"/>
      <c r="AJ21" s="93"/>
      <c r="AK21" s="94"/>
      <c r="AL21" s="86"/>
      <c r="AM21" s="87"/>
      <c r="AN21" s="245"/>
      <c r="AO21" s="246"/>
      <c r="AP21" s="116"/>
      <c r="AQ21" s="117"/>
      <c r="AR21" s="115"/>
      <c r="AS21" s="115"/>
      <c r="AT21" s="113"/>
      <c r="AU21" s="113"/>
      <c r="AV21" s="113"/>
      <c r="AW21" s="114"/>
      <c r="AX21" s="8"/>
      <c r="AY21" s="8"/>
      <c r="AZ21" s="93"/>
      <c r="BA21" s="94"/>
      <c r="BB21" s="86"/>
      <c r="BC21" s="87"/>
      <c r="BD21" s="84"/>
      <c r="BE21" s="85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</row>
    <row r="22" spans="1:104" ht="32.25" customHeight="1" thickBot="1" x14ac:dyDescent="0.5">
      <c r="A22" s="164"/>
      <c r="B22" s="165"/>
      <c r="C22" s="169"/>
      <c r="D22" s="170"/>
      <c r="E22" s="17"/>
      <c r="F22" s="1"/>
      <c r="G22" s="1"/>
      <c r="H22" s="1"/>
      <c r="I22" s="19"/>
      <c r="J22" s="16"/>
      <c r="K22" s="155"/>
      <c r="L22" s="156"/>
      <c r="M22" s="147"/>
      <c r="N22" s="110"/>
      <c r="O22" s="17"/>
      <c r="P22" s="1"/>
      <c r="Q22" s="1"/>
      <c r="R22" s="1"/>
      <c r="S22" s="1"/>
      <c r="T22" s="1"/>
      <c r="U22" s="1"/>
      <c r="V22" s="16"/>
      <c r="W22" s="157">
        <f>SUM(AN22,AT22,AV22,BD22)</f>
        <v>0</v>
      </c>
      <c r="X22" s="158"/>
      <c r="Y22" s="155"/>
      <c r="Z22" s="156"/>
      <c r="AA22" s="109"/>
      <c r="AB22" s="110"/>
      <c r="AC22" s="17"/>
      <c r="AD22" s="1"/>
      <c r="AE22" s="1"/>
      <c r="AF22" s="1"/>
      <c r="AG22" s="1"/>
      <c r="AH22" s="36"/>
      <c r="AI22" s="37"/>
      <c r="AJ22" s="93"/>
      <c r="AK22" s="94"/>
      <c r="AL22" s="86"/>
      <c r="AM22" s="87"/>
      <c r="AN22" s="245"/>
      <c r="AO22" s="246"/>
      <c r="AP22" s="116"/>
      <c r="AQ22" s="117"/>
      <c r="AR22" s="115"/>
      <c r="AS22" s="115"/>
      <c r="AT22" s="113"/>
      <c r="AU22" s="113"/>
      <c r="AV22" s="113"/>
      <c r="AW22" s="114"/>
      <c r="AX22" s="8"/>
      <c r="AY22" s="8"/>
      <c r="AZ22" s="93"/>
      <c r="BA22" s="94"/>
      <c r="BB22" s="86"/>
      <c r="BC22" s="87"/>
      <c r="BD22" s="84"/>
      <c r="BE22" s="85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</row>
    <row r="23" spans="1:104" ht="32.25" customHeight="1" x14ac:dyDescent="0.45">
      <c r="A23" s="167"/>
      <c r="B23" s="168"/>
      <c r="C23" s="171"/>
      <c r="D23" s="172"/>
      <c r="E23" s="33"/>
      <c r="F23" s="33"/>
      <c r="G23" s="33"/>
      <c r="H23" s="33"/>
      <c r="I23" s="33"/>
      <c r="J23" s="23"/>
      <c r="K23" s="159"/>
      <c r="L23" s="160"/>
      <c r="M23" s="148"/>
      <c r="N23" s="149"/>
      <c r="O23" s="31"/>
      <c r="P23" s="31"/>
      <c r="Q23" s="31"/>
      <c r="R23" s="31"/>
      <c r="S23" s="31"/>
      <c r="T23" s="31"/>
      <c r="U23" s="31"/>
      <c r="V23" s="35"/>
      <c r="W23" s="157">
        <f>SUM(E23:J23,O23:V23,AC23:AI23,AN23,AT23:AW23,BD23)</f>
        <v>0</v>
      </c>
      <c r="X23" s="158"/>
      <c r="Y23" s="159"/>
      <c r="Z23" s="160"/>
      <c r="AA23" s="232"/>
      <c r="AB23" s="149"/>
      <c r="AC23" s="31"/>
      <c r="AD23" s="31"/>
      <c r="AE23" s="31"/>
      <c r="AF23" s="31"/>
      <c r="AG23" s="31"/>
      <c r="AH23" s="32"/>
      <c r="AI23" s="35"/>
      <c r="AJ23" s="93"/>
      <c r="AK23" s="94"/>
      <c r="AL23" s="86"/>
      <c r="AM23" s="87"/>
      <c r="AN23" s="245"/>
      <c r="AO23" s="246"/>
      <c r="AP23" s="116"/>
      <c r="AQ23" s="117"/>
      <c r="AR23" s="115"/>
      <c r="AS23" s="115"/>
      <c r="AT23" s="113"/>
      <c r="AU23" s="113"/>
      <c r="AV23" s="113"/>
      <c r="AW23" s="114"/>
      <c r="AX23" s="8"/>
      <c r="AY23" s="8"/>
      <c r="AZ23" s="93"/>
      <c r="BA23" s="94"/>
      <c r="BB23" s="86"/>
      <c r="BC23" s="87"/>
      <c r="BD23" s="84"/>
      <c r="BE23" s="85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</row>
    <row r="24" spans="1:104" ht="32.25" customHeight="1" thickBot="1" x14ac:dyDescent="0.5">
      <c r="A24" s="164"/>
      <c r="B24" s="165"/>
      <c r="C24" s="169"/>
      <c r="D24" s="170"/>
      <c r="E24" s="17"/>
      <c r="F24" s="1"/>
      <c r="G24" s="1"/>
      <c r="H24" s="1"/>
      <c r="I24" s="19"/>
      <c r="J24" s="16"/>
      <c r="K24" s="155"/>
      <c r="L24" s="156"/>
      <c r="M24" s="147"/>
      <c r="N24" s="110"/>
      <c r="O24" s="17"/>
      <c r="P24" s="1"/>
      <c r="Q24" s="1"/>
      <c r="R24" s="1"/>
      <c r="S24" s="1"/>
      <c r="T24" s="1"/>
      <c r="U24" s="1"/>
      <c r="V24" s="16"/>
      <c r="W24" s="157">
        <f>SUM(AN24,AT24,AV24,BD24)</f>
        <v>0</v>
      </c>
      <c r="X24" s="158"/>
      <c r="Y24" s="155"/>
      <c r="Z24" s="156"/>
      <c r="AA24" s="109"/>
      <c r="AB24" s="110"/>
      <c r="AC24" s="17"/>
      <c r="AD24" s="1"/>
      <c r="AE24" s="1"/>
      <c r="AF24" s="1"/>
      <c r="AG24" s="1"/>
      <c r="AH24" s="36"/>
      <c r="AI24" s="37"/>
      <c r="AJ24" s="93"/>
      <c r="AK24" s="94"/>
      <c r="AL24" s="86"/>
      <c r="AM24" s="87"/>
      <c r="AN24" s="245"/>
      <c r="AO24" s="246"/>
      <c r="AP24" s="116"/>
      <c r="AQ24" s="117"/>
      <c r="AR24" s="115"/>
      <c r="AS24" s="115"/>
      <c r="AT24" s="113"/>
      <c r="AU24" s="113"/>
      <c r="AV24" s="113"/>
      <c r="AW24" s="114"/>
      <c r="AX24" s="8"/>
      <c r="AY24" s="8"/>
      <c r="AZ24" s="93"/>
      <c r="BA24" s="94"/>
      <c r="BB24" s="86"/>
      <c r="BC24" s="87"/>
      <c r="BD24" s="84"/>
      <c r="BE24" s="85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</row>
    <row r="25" spans="1:104" ht="32.25" customHeight="1" thickBot="1" x14ac:dyDescent="0.5">
      <c r="A25" s="182"/>
      <c r="B25" s="183"/>
      <c r="C25" s="180"/>
      <c r="D25" s="181"/>
      <c r="E25" s="24"/>
      <c r="F25" s="24"/>
      <c r="G25" s="24"/>
      <c r="H25" s="24"/>
      <c r="I25" s="24"/>
      <c r="J25" s="25"/>
      <c r="K25" s="256"/>
      <c r="L25" s="257"/>
      <c r="M25" s="150"/>
      <c r="N25" s="151"/>
      <c r="O25" s="26"/>
      <c r="P25" s="26"/>
      <c r="Q25" s="26"/>
      <c r="R25" s="26"/>
      <c r="S25" s="26"/>
      <c r="T25" s="26"/>
      <c r="U25" s="26"/>
      <c r="V25" s="27"/>
      <c r="W25" s="254">
        <f>SUM(E25:J25,O25:V25,AC25:AI25,AN25,AT25:AW25,BD25)</f>
        <v>0</v>
      </c>
      <c r="X25" s="255"/>
      <c r="Y25" s="256"/>
      <c r="Z25" s="257"/>
      <c r="AA25" s="258"/>
      <c r="AB25" s="151"/>
      <c r="AC25" s="26"/>
      <c r="AD25" s="26"/>
      <c r="AE25" s="26"/>
      <c r="AF25" s="26"/>
      <c r="AG25" s="26"/>
      <c r="AH25" s="38"/>
      <c r="AI25" s="27"/>
      <c r="AJ25" s="101"/>
      <c r="AK25" s="102"/>
      <c r="AL25" s="88"/>
      <c r="AM25" s="89"/>
      <c r="AN25" s="259"/>
      <c r="AO25" s="260"/>
      <c r="AP25" s="120"/>
      <c r="AQ25" s="121"/>
      <c r="AR25" s="92"/>
      <c r="AS25" s="92"/>
      <c r="AT25" s="95"/>
      <c r="AU25" s="95"/>
      <c r="AV25" s="95"/>
      <c r="AW25" s="96"/>
      <c r="AX25" s="8"/>
      <c r="AY25" s="8"/>
      <c r="AZ25" s="101"/>
      <c r="BA25" s="102"/>
      <c r="BB25" s="88"/>
      <c r="BC25" s="89"/>
      <c r="BD25" s="90"/>
      <c r="BE25" s="91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</row>
    <row r="26" spans="1:104" ht="39.950000000000003" customHeight="1" thickTop="1" thickBot="1" x14ac:dyDescent="0.3">
      <c r="A26" s="206">
        <f ca="1">TODAY()</f>
        <v>44600</v>
      </c>
      <c r="B26" s="206"/>
      <c r="C26" s="206"/>
      <c r="D26" s="206"/>
      <c r="E26" s="206"/>
      <c r="F26" s="293" t="s">
        <v>42</v>
      </c>
      <c r="G26" s="293"/>
      <c r="H26" s="293"/>
      <c r="I26" s="293"/>
      <c r="J26" s="293"/>
      <c r="K26" s="6"/>
      <c r="L26" s="7"/>
      <c r="M26" s="7"/>
      <c r="N26" s="7"/>
      <c r="O26" s="7"/>
      <c r="P26" s="7"/>
      <c r="Q26" s="7"/>
      <c r="R26" s="7"/>
      <c r="S26" s="7"/>
      <c r="T26" s="261" t="s">
        <v>8</v>
      </c>
      <c r="U26" s="261"/>
      <c r="V26" s="261"/>
      <c r="W26" s="262">
        <f>SUM(W3:X25)</f>
        <v>0</v>
      </c>
      <c r="X26" s="262"/>
      <c r="Y26" s="15"/>
      <c r="Z26" s="6"/>
      <c r="AA26" s="6"/>
      <c r="AB26" s="6"/>
      <c r="AC26" s="7"/>
      <c r="AD26" s="7"/>
      <c r="AE26" s="7"/>
      <c r="AF26" s="7"/>
      <c r="AG26" s="7"/>
      <c r="AH26" s="7"/>
      <c r="AI26" s="7"/>
      <c r="AJ26" s="7"/>
      <c r="AK26" s="7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</row>
    <row r="27" spans="1:104" ht="27.95" customHeight="1" thickBot="1" x14ac:dyDescent="0.3">
      <c r="A27" s="184" t="s">
        <v>9</v>
      </c>
      <c r="B27" s="185"/>
      <c r="C27" s="185"/>
      <c r="D27" s="185"/>
      <c r="E27" s="186"/>
      <c r="F27" s="10"/>
      <c r="G27" s="6"/>
      <c r="H27" s="6"/>
      <c r="I27" s="6"/>
      <c r="J27" s="6"/>
      <c r="K27" s="6"/>
      <c r="L27" s="7"/>
      <c r="M27" s="7"/>
      <c r="N27" s="7"/>
      <c r="O27" s="7"/>
      <c r="P27" s="7"/>
      <c r="Q27" s="7"/>
      <c r="R27" s="7"/>
      <c r="S27" s="7"/>
      <c r="T27" s="7"/>
      <c r="U27" s="6"/>
      <c r="V27" s="6"/>
      <c r="W27" s="6"/>
      <c r="X27" s="6"/>
      <c r="Y27" s="6"/>
      <c r="Z27" s="6"/>
      <c r="AA27" s="7"/>
      <c r="AB27" s="7"/>
      <c r="AC27" s="7"/>
      <c r="AD27" s="7"/>
      <c r="AE27" s="7"/>
      <c r="AF27" s="7"/>
      <c r="AG27" s="7"/>
      <c r="AH27" s="7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7"/>
      <c r="AT27" s="7"/>
      <c r="AU27" s="7"/>
      <c r="AV27" s="7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6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</row>
    <row r="28" spans="1:104" ht="32.25" customHeight="1" thickTop="1" thickBot="1" x14ac:dyDescent="0.3">
      <c r="A28" s="118" t="s">
        <v>24</v>
      </c>
      <c r="B28" s="251"/>
      <c r="C28" s="251"/>
      <c r="D28" s="251"/>
      <c r="E28" s="251"/>
      <c r="F28" s="251"/>
      <c r="G28" s="251"/>
      <c r="H28" s="119"/>
      <c r="I28" s="11"/>
      <c r="J28" s="118" t="s">
        <v>25</v>
      </c>
      <c r="K28" s="251"/>
      <c r="L28" s="251"/>
      <c r="M28" s="251"/>
      <c r="N28" s="251"/>
      <c r="O28" s="251"/>
      <c r="P28" s="251"/>
      <c r="Q28" s="251"/>
      <c r="R28" s="251"/>
      <c r="S28" s="119"/>
      <c r="T28" s="11"/>
      <c r="U28" s="118" t="s">
        <v>26</v>
      </c>
      <c r="V28" s="251"/>
      <c r="W28" s="251"/>
      <c r="X28" s="251"/>
      <c r="Y28" s="251"/>
      <c r="Z28" s="251"/>
      <c r="AA28" s="251"/>
      <c r="AB28" s="251"/>
      <c r="AC28" s="119"/>
      <c r="AD28" s="8"/>
      <c r="AE28" s="118" t="s">
        <v>32</v>
      </c>
      <c r="AF28" s="119"/>
      <c r="AG28" s="8"/>
      <c r="AH28" s="118" t="s">
        <v>30</v>
      </c>
      <c r="AI28" s="119"/>
      <c r="AJ28" s="11"/>
      <c r="AK28" s="118" t="s">
        <v>28</v>
      </c>
      <c r="AL28" s="251"/>
      <c r="AM28" s="251"/>
      <c r="AN28" s="251"/>
      <c r="AO28" s="251"/>
      <c r="AP28" s="251"/>
      <c r="AQ28" s="251"/>
      <c r="AR28" s="119"/>
      <c r="AS28" s="8"/>
      <c r="AT28" s="118" t="s">
        <v>31</v>
      </c>
      <c r="AU28" s="251"/>
      <c r="AV28" s="251"/>
      <c r="AW28" s="119"/>
      <c r="AX28" s="8"/>
      <c r="AY28" s="118" t="s">
        <v>29</v>
      </c>
      <c r="AZ28" s="119"/>
      <c r="BA28" s="8"/>
      <c r="BB28" s="118" t="s">
        <v>35</v>
      </c>
      <c r="BC28" s="119"/>
      <c r="BD28" s="8"/>
      <c r="BE28" s="118" t="s">
        <v>27</v>
      </c>
      <c r="BF28" s="119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</row>
    <row r="29" spans="1:104" ht="32.25" customHeight="1" thickTop="1" thickBot="1" x14ac:dyDescent="0.3">
      <c r="A29" s="12">
        <v>79</v>
      </c>
      <c r="B29" s="13">
        <v>80</v>
      </c>
      <c r="C29" s="13">
        <v>85</v>
      </c>
      <c r="D29" s="13" t="s">
        <v>2</v>
      </c>
      <c r="E29" s="13">
        <v>41</v>
      </c>
      <c r="F29" s="13">
        <v>42</v>
      </c>
      <c r="G29" s="207" t="s">
        <v>8</v>
      </c>
      <c r="H29" s="208"/>
      <c r="I29" s="14"/>
      <c r="J29" s="12">
        <v>81</v>
      </c>
      <c r="K29" s="13">
        <v>82</v>
      </c>
      <c r="L29" s="13">
        <v>83</v>
      </c>
      <c r="M29" s="13">
        <v>84</v>
      </c>
      <c r="N29" s="13">
        <v>87</v>
      </c>
      <c r="O29" s="13">
        <v>88</v>
      </c>
      <c r="P29" s="13">
        <v>89</v>
      </c>
      <c r="Q29" s="13">
        <v>90</v>
      </c>
      <c r="R29" s="207" t="s">
        <v>8</v>
      </c>
      <c r="S29" s="208"/>
      <c r="T29" s="14"/>
      <c r="U29" s="12">
        <v>50</v>
      </c>
      <c r="V29" s="13">
        <v>51</v>
      </c>
      <c r="W29" s="13">
        <v>52</v>
      </c>
      <c r="X29" s="13">
        <v>53</v>
      </c>
      <c r="Y29" s="13">
        <v>54</v>
      </c>
      <c r="Z29" s="13">
        <v>55</v>
      </c>
      <c r="AA29" s="13" t="s">
        <v>3</v>
      </c>
      <c r="AB29" s="134" t="s">
        <v>8</v>
      </c>
      <c r="AC29" s="135"/>
      <c r="AD29" s="8"/>
      <c r="AE29" s="136" t="s">
        <v>18</v>
      </c>
      <c r="AF29" s="137"/>
      <c r="AG29" s="8"/>
      <c r="AH29" s="136" t="s">
        <v>7</v>
      </c>
      <c r="AI29" s="137"/>
      <c r="AJ29" s="14"/>
      <c r="AK29" s="136" t="s">
        <v>20</v>
      </c>
      <c r="AL29" s="252"/>
      <c r="AM29" s="253" t="s">
        <v>21</v>
      </c>
      <c r="AN29" s="252"/>
      <c r="AO29" s="253" t="s">
        <v>5</v>
      </c>
      <c r="AP29" s="252"/>
      <c r="AQ29" s="138" t="s">
        <v>8</v>
      </c>
      <c r="AR29" s="139"/>
      <c r="AS29" s="8"/>
      <c r="AT29" s="288" t="s">
        <v>34</v>
      </c>
      <c r="AU29" s="289"/>
      <c r="AV29" s="289" t="s">
        <v>33</v>
      </c>
      <c r="AW29" s="290"/>
      <c r="AX29" s="8"/>
      <c r="AY29" s="136" t="s">
        <v>6</v>
      </c>
      <c r="AZ29" s="137"/>
      <c r="BA29" s="8"/>
      <c r="BB29" s="136" t="s">
        <v>36</v>
      </c>
      <c r="BC29" s="137"/>
      <c r="BD29" s="8"/>
      <c r="BE29" s="136" t="s">
        <v>4</v>
      </c>
      <c r="BF29" s="137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</row>
    <row r="30" spans="1:104" ht="32.25" customHeight="1" thickBot="1" x14ac:dyDescent="0.3">
      <c r="A30" s="4">
        <f t="shared" ref="A30:F30" si="0">SUM(E3:E25)</f>
        <v>0</v>
      </c>
      <c r="B30" s="34">
        <f t="shared" si="0"/>
        <v>0</v>
      </c>
      <c r="C30" s="34">
        <f t="shared" si="0"/>
        <v>0</v>
      </c>
      <c r="D30" s="34">
        <f t="shared" si="0"/>
        <v>0</v>
      </c>
      <c r="E30" s="34">
        <f t="shared" si="0"/>
        <v>0</v>
      </c>
      <c r="F30" s="34">
        <f t="shared" si="0"/>
        <v>0</v>
      </c>
      <c r="G30" s="209">
        <f>SUM(A30:F30)</f>
        <v>0</v>
      </c>
      <c r="H30" s="210"/>
      <c r="I30" s="9"/>
      <c r="J30" s="28">
        <f t="shared" ref="J30:L30" si="1">SUM(O3:O25)</f>
        <v>0</v>
      </c>
      <c r="K30" s="2">
        <f t="shared" si="1"/>
        <v>0</v>
      </c>
      <c r="L30" s="2">
        <f t="shared" si="1"/>
        <v>0</v>
      </c>
      <c r="M30" s="2">
        <f>SUM(R3:R25)</f>
        <v>0</v>
      </c>
      <c r="N30" s="2">
        <f>SUM(S3:S25)</f>
        <v>0</v>
      </c>
      <c r="O30" s="2">
        <f>SUM(T3:T25)</f>
        <v>0</v>
      </c>
      <c r="P30" s="2">
        <f>SUM(U3:U25)</f>
        <v>0</v>
      </c>
      <c r="Q30" s="2">
        <f>SUM(V3:V25)</f>
        <v>0</v>
      </c>
      <c r="R30" s="130">
        <f>SUM(J30:Q30)</f>
        <v>0</v>
      </c>
      <c r="S30" s="75"/>
      <c r="T30" s="9"/>
      <c r="U30" s="5">
        <f t="shared" ref="U30:Z30" si="2">SUM(AC3:AC25)</f>
        <v>0</v>
      </c>
      <c r="V30" s="3">
        <f t="shared" si="2"/>
        <v>0</v>
      </c>
      <c r="W30" s="3">
        <f t="shared" si="2"/>
        <v>0</v>
      </c>
      <c r="X30" s="3">
        <f t="shared" si="2"/>
        <v>0</v>
      </c>
      <c r="Y30" s="3">
        <f t="shared" si="2"/>
        <v>0</v>
      </c>
      <c r="Z30" s="3">
        <f t="shared" si="2"/>
        <v>0</v>
      </c>
      <c r="AA30" s="3">
        <f>SUM(AI3:AI25)</f>
        <v>0</v>
      </c>
      <c r="AB30" s="130">
        <f>SUM(U30:AA30)</f>
        <v>0</v>
      </c>
      <c r="AC30" s="75"/>
      <c r="AD30" s="6"/>
      <c r="AE30" s="74">
        <f>SUM(AN3:AO14)</f>
        <v>0</v>
      </c>
      <c r="AF30" s="75"/>
      <c r="AG30" s="8"/>
      <c r="AH30" s="74">
        <f>SUM(AN17:AO25)</f>
        <v>0</v>
      </c>
      <c r="AI30" s="75"/>
      <c r="AJ30" s="9"/>
      <c r="AK30" s="74">
        <f>SUM(AT3:AU14)</f>
        <v>0</v>
      </c>
      <c r="AL30" s="133"/>
      <c r="AM30" s="130">
        <f>SUM(AV3:AW14)</f>
        <v>0</v>
      </c>
      <c r="AN30" s="133"/>
      <c r="AO30" s="130">
        <f>SUM(AX3:AY14)</f>
        <v>0</v>
      </c>
      <c r="AP30" s="133"/>
      <c r="AQ30" s="130">
        <f>SUM(AK30:AP30)</f>
        <v>0</v>
      </c>
      <c r="AR30" s="75"/>
      <c r="AS30" s="8"/>
      <c r="AT30" s="71">
        <f>SUM(AT17:AU25)</f>
        <v>0</v>
      </c>
      <c r="AU30" s="72"/>
      <c r="AV30" s="72">
        <f>SUM(AV17:AW25)</f>
        <v>0</v>
      </c>
      <c r="AW30" s="73"/>
      <c r="AX30" s="8"/>
      <c r="AY30" s="74">
        <f>SUM(BD3:BE14)</f>
        <v>0</v>
      </c>
      <c r="AZ30" s="75"/>
      <c r="BA30" s="8"/>
      <c r="BB30" s="74">
        <f>SUM(BD17:BE25)</f>
        <v>0</v>
      </c>
      <c r="BC30" s="75"/>
      <c r="BD30" s="8"/>
      <c r="BE30" s="74">
        <f>SUM(BJ3:BK14)</f>
        <v>0</v>
      </c>
      <c r="BF30" s="75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</row>
    <row r="31" spans="1:104" ht="9.9499999999999993" customHeight="1" thickTop="1" thickBo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7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</row>
    <row r="32" spans="1:104" ht="32.25" customHeight="1" thickTop="1" thickBot="1" x14ac:dyDescent="0.3">
      <c r="A32" s="184" t="s">
        <v>15</v>
      </c>
      <c r="B32" s="185"/>
      <c r="C32" s="185"/>
      <c r="D32" s="185"/>
      <c r="E32" s="186"/>
      <c r="F32" s="14"/>
      <c r="G32" s="14"/>
      <c r="H32" s="14"/>
      <c r="I32" s="14"/>
      <c r="J32" s="76" t="s">
        <v>17</v>
      </c>
      <c r="K32" s="77"/>
      <c r="L32" s="77"/>
      <c r="M32" s="77"/>
      <c r="N32" s="77"/>
      <c r="O32" s="77"/>
      <c r="P32" s="77"/>
      <c r="Q32" s="78"/>
      <c r="R32" s="14"/>
      <c r="S32" s="14"/>
      <c r="T32" s="14"/>
      <c r="U32" s="14"/>
      <c r="V32" s="14"/>
      <c r="W32" s="14"/>
      <c r="X32" s="14"/>
      <c r="Y32" s="14"/>
      <c r="Z32" s="14"/>
      <c r="AA32" s="8"/>
      <c r="AB32" s="8"/>
      <c r="AC32" s="8"/>
      <c r="AD32" s="8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8"/>
      <c r="AT32" s="8"/>
      <c r="AU32" s="7"/>
      <c r="AV32" s="9"/>
      <c r="AW32" s="7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</row>
    <row r="33" spans="1:104" ht="32.25" customHeight="1" thickTop="1" thickBot="1" x14ac:dyDescent="0.3">
      <c r="A33" s="189" t="s">
        <v>12</v>
      </c>
      <c r="B33" s="190"/>
      <c r="C33" s="190"/>
      <c r="D33" s="190"/>
      <c r="E33" s="190"/>
      <c r="F33" s="191"/>
      <c r="G33" s="198">
        <f>'2nd Shift'!W26</f>
        <v>0</v>
      </c>
      <c r="H33" s="199"/>
      <c r="I33" s="14"/>
      <c r="J33" s="204" t="s">
        <v>16</v>
      </c>
      <c r="K33" s="205"/>
      <c r="L33" s="104">
        <v>41</v>
      </c>
      <c r="M33" s="104"/>
      <c r="N33" s="104">
        <v>24</v>
      </c>
      <c r="O33" s="104"/>
      <c r="P33" s="104">
        <v>25</v>
      </c>
      <c r="Q33" s="104"/>
      <c r="R33" s="118" t="s">
        <v>22</v>
      </c>
      <c r="S33" s="119"/>
      <c r="T33" s="104">
        <v>55</v>
      </c>
      <c r="U33" s="104"/>
      <c r="V33" s="104">
        <v>81</v>
      </c>
      <c r="W33" s="104"/>
      <c r="X33" s="104">
        <v>71</v>
      </c>
      <c r="Y33" s="104"/>
      <c r="Z33" s="104">
        <v>82</v>
      </c>
      <c r="AA33" s="104"/>
      <c r="AB33" s="104">
        <v>16</v>
      </c>
      <c r="AC33" s="104"/>
      <c r="AD33" s="104">
        <v>23</v>
      </c>
      <c r="AE33" s="104"/>
      <c r="AF33" s="7"/>
      <c r="AG33" s="76" t="s">
        <v>19</v>
      </c>
      <c r="AH33" s="77"/>
      <c r="AI33" s="77"/>
      <c r="AJ33" s="77"/>
      <c r="AK33" s="78"/>
      <c r="AL33" s="8"/>
      <c r="AM33" s="8"/>
      <c r="AN33" s="8"/>
      <c r="AO33" s="6"/>
      <c r="AP33" s="6"/>
      <c r="AQ33" s="8"/>
      <c r="AR33" s="8"/>
      <c r="AS33" s="6"/>
      <c r="AT33" s="7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</row>
    <row r="34" spans="1:104" ht="32.25" customHeight="1" thickTop="1" thickBot="1" x14ac:dyDescent="0.3">
      <c r="A34" s="192" t="s">
        <v>10</v>
      </c>
      <c r="B34" s="193"/>
      <c r="C34" s="193"/>
      <c r="D34" s="193"/>
      <c r="E34" s="193"/>
      <c r="F34" s="194"/>
      <c r="G34" s="200">
        <v>0</v>
      </c>
      <c r="H34" s="201"/>
      <c r="I34" s="14"/>
      <c r="J34" s="176" t="s">
        <v>14</v>
      </c>
      <c r="K34" s="177"/>
      <c r="L34" s="105" t="str">
        <f>IFERROR("SW"&amp;IF(COUNTIF(E3:J25,MAX(E3:J25))&gt;1,"Multi",INDEX(E2:J2,,SUMPRODUCT((E3:J25=MAX(E3:J25))*COLUMN(E3:J25))-COLUMN(E3:J25)+1)),"")</f>
        <v/>
      </c>
      <c r="M34" s="105"/>
      <c r="N34" s="105" t="str">
        <f>IFERROR("SW"&amp;IF(COUNTIF(O3:V25,MAX(O3:V25))&gt;1,"Multi",INDEX(O2:V2,,SUMPRODUCT((O3:V25=MAX(O3:V25))*COLUMN(O3:V25))-COLUMN(O3:V25)+1)),"")</f>
        <v/>
      </c>
      <c r="O34" s="105"/>
      <c r="P34" s="105" t="str">
        <f>IFERROR("SW"&amp;IF(COUNTIF(AC3:AI25,MAX(AC3:AI25))&gt;1,"Multi",INDEX(AC2:AI2,,SUMPRODUCT((AC3:AI25=MAX(AC3:AI25))*COLUMN(AC3:AI25))-COLUMN(AC3:AI25)+1)),"")</f>
        <v/>
      </c>
      <c r="Q34" s="105"/>
      <c r="R34" s="218" t="s">
        <v>18</v>
      </c>
      <c r="S34" s="219"/>
      <c r="T34" s="105" t="s">
        <v>7</v>
      </c>
      <c r="U34" s="105"/>
      <c r="V34" s="105" t="str">
        <f>IFERROR(IF(COUNTIF(AT3:AY14,MAX(AT3:AY14))&gt;1,"Multi",INDEX(AT2:AY2,,SUMPRODUCT((AT3:AY14=MAX(AT3:AY14))*COLUMN(AT3:AY14))-COLUMN(AT3:AY14)+1)),"")</f>
        <v/>
      </c>
      <c r="W34" s="105"/>
      <c r="X34" s="105" t="str">
        <f>IFERROR(IF(COUNTIF(AT17:AW25,MAX(AT17:AW25))&gt;1,"Multi",INDEX(AT16:AW16,,SUMPRODUCT((AT17:AW25=MAX(AT17:AW25))*COLUMN(AT17:AW25))-COLUMN(AT17:AW25)+1)),"")</f>
        <v/>
      </c>
      <c r="Y34" s="105"/>
      <c r="Z34" s="105" t="s">
        <v>6</v>
      </c>
      <c r="AA34" s="105"/>
      <c r="AB34" s="105" t="s">
        <v>36</v>
      </c>
      <c r="AC34" s="105"/>
      <c r="AD34" s="105" t="s">
        <v>4</v>
      </c>
      <c r="AE34" s="105"/>
      <c r="AF34" s="7"/>
      <c r="AG34" s="79">
        <f>SUM(FindRollers(E3:J25),FindRollers(O3:V25),FindRollers(AC3:AI25),FindRollers(BJ3:BK14),FindRollers(AT3:AY14),FindRollers(AN17:AO25),FindRollers(AT17:AW25),FindRollers(AN3:AO14),FindRollers(BD17:BE25),FindRollers(BD3:BE14))</f>
        <v>0</v>
      </c>
      <c r="AH34" s="80"/>
      <c r="AI34" s="80"/>
      <c r="AJ34" s="80"/>
      <c r="AK34" s="81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</row>
    <row r="35" spans="1:104" ht="32.25" customHeight="1" thickBot="1" x14ac:dyDescent="0.3">
      <c r="A35" s="195" t="s">
        <v>11</v>
      </c>
      <c r="B35" s="196"/>
      <c r="C35" s="196"/>
      <c r="D35" s="196"/>
      <c r="E35" s="196"/>
      <c r="F35" s="197"/>
      <c r="G35" s="202">
        <v>0</v>
      </c>
      <c r="H35" s="203"/>
      <c r="I35" s="14"/>
      <c r="J35" s="178" t="s">
        <v>37</v>
      </c>
      <c r="K35" s="179"/>
      <c r="L35" s="152" t="str">
        <f>IFERROR(IF(COUNTIF(E3:J25,MAX(E3:J25))&gt;1,"Multi",INDEX(C3:C25,SUMPRODUCT((E3:J25=MAX(E3:J25))*ROW(E3:J25))-ROW(E3:J25)+1)),"")</f>
        <v/>
      </c>
      <c r="M35" s="152"/>
      <c r="N35" s="152" t="str">
        <f>IFERROR(IF(COUNTIF(O3:V25,MAX(O3:V25))&gt;1,"Multi",INDEX(M3:M25,SUMPRODUCT((O3:V25=MAX(O3:V25))*ROW(O3:V25))-ROW(O3:V25)+1)),"")</f>
        <v/>
      </c>
      <c r="O35" s="152"/>
      <c r="P35" s="152" t="str">
        <f>IFERROR(IF(COUNTIF(AC3:AI25,MAX(AC3:AI25))&gt;1,"Multi",INDEX(AA3:AA25,SUMPRODUCT((AC3:AI25=MAX(AC3:AI25))*ROW(AC3:AI25))-ROW(AC3:AI25)+1)),"")</f>
        <v/>
      </c>
      <c r="Q35" s="152"/>
      <c r="R35" s="187" t="str">
        <f>IFERROR(IF(COUNTIF(AN3:AN14,MAX(AN3:AN14))&gt;1,"Multi",INDEX(AL3:AL14,SUMPRODUCT((AN3:AN14=MAX(AN3:AN14))*ROW(AN3:AN14))-ROW(AN3:AN14)+1)),"")</f>
        <v/>
      </c>
      <c r="S35" s="188"/>
      <c r="T35" s="103" t="str">
        <f>IFERROR(IF(COUNTIF(AN17:AN25,MAX(AN17:AN25))&gt;1,"Multi",INDEX(AL17:AL25,SUMPRODUCT((AN17:AN25=MAX(AN17:AN25))*ROW(AN17:AN25))-ROW(AN17:AN25)+1)),"")</f>
        <v/>
      </c>
      <c r="U35" s="103"/>
      <c r="V35" s="103" t="str">
        <f>IFERROR(IF(COUNTIF(AT3:AY14,MAX(AT3:AY14))&gt;1,"Multi",INDEX(AR3:AR14,SUMPRODUCT((AT3:AY14=MAX(AT3:AY14))*ROW(AT3:AY14))-ROW(AT3:AY14)+1)),"")</f>
        <v/>
      </c>
      <c r="W35" s="103"/>
      <c r="X35" s="103" t="str">
        <f>IFERROR(IF(COUNTIF(AT17:AW25,MAX(AT17:AW25))&gt;1,"Multi",INDEX(AR17:AR25,SUMPRODUCT((AT17:AW25=MAX(AT17:AW25))*ROW(AT17:AW25))-ROW(AT17:AW25)+1)),"")</f>
        <v/>
      </c>
      <c r="Y35" s="103"/>
      <c r="Z35" s="103" t="str">
        <f>IFERROR(IF(COUNTIF(BD3:BD14,MAX(BD3:BD14))&gt;1,"Multi",INDEX(BB3:BB14,SUMPRODUCT((BD3:BD14=MAX(BD3:BD14))*ROW(BD3:BD14))-ROW(BD3:BD14)+1)),"")</f>
        <v/>
      </c>
      <c r="AA35" s="103"/>
      <c r="AB35" s="103" t="str">
        <f>IFERROR(IF(COUNTIF(BD17:BD25,MAX(BD17:BD25))&gt;1,"Multi",INDEX(BB17:BB25,SUMPRODUCT((BD17:BD25=MAX(BD17:BD25))*ROW(BD17:BD25))-ROW(BD17:BD25)+1)),"")</f>
        <v/>
      </c>
      <c r="AC35" s="103"/>
      <c r="AD35" s="103" t="str">
        <f>IFERROR(IF(COUNTIF(BJ3:BJ14,MAX(BJ3:BJ14))&gt;1,"Multi",INDEX(BH3:BH14,SUMPRODUCT((BJ3:BJ14=MAX(BJ3:BJ14))*ROW(BJ3:BJ14))-ROW(BJ3:BJ14)+1)),"")</f>
        <v/>
      </c>
      <c r="AE35" s="103"/>
      <c r="AF35" s="7"/>
      <c r="AG35" s="7"/>
      <c r="AH35" s="7"/>
      <c r="AI35" s="6"/>
      <c r="AJ35" s="6"/>
      <c r="AK35" s="6"/>
      <c r="AL35" s="6"/>
      <c r="AM35" s="6"/>
      <c r="AN35" s="6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</row>
    <row r="36" spans="1:104" s="50" customFormat="1" ht="32.25" customHeight="1" thickTop="1" thickBot="1" x14ac:dyDescent="0.3">
      <c r="A36" s="40"/>
      <c r="B36" s="40"/>
      <c r="C36" s="40"/>
      <c r="D36" s="40"/>
      <c r="E36" s="40"/>
      <c r="F36" s="40"/>
      <c r="G36" s="39"/>
      <c r="H36" s="39"/>
      <c r="I36" s="14"/>
      <c r="J36" s="41"/>
      <c r="K36" s="41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7"/>
      <c r="AG36" s="7"/>
      <c r="AH36" s="7"/>
      <c r="AI36" s="6"/>
      <c r="AJ36" s="6"/>
      <c r="AK36" s="6"/>
      <c r="AL36" s="6"/>
      <c r="AM36" s="6"/>
      <c r="AN36" s="6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</row>
    <row r="37" spans="1:104" s="50" customFormat="1" ht="32.25" customHeight="1" thickBot="1" x14ac:dyDescent="0.3">
      <c r="A37" s="285" t="s">
        <v>38</v>
      </c>
      <c r="B37" s="286"/>
      <c r="C37" s="286"/>
      <c r="D37" s="286"/>
      <c r="E37" s="286"/>
      <c r="F37" s="286"/>
      <c r="G37" s="287"/>
      <c r="H37" s="43"/>
      <c r="I37" s="14"/>
      <c r="J37" s="41"/>
      <c r="K37" s="41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7"/>
      <c r="AG37" s="7"/>
      <c r="AH37" s="7"/>
      <c r="AI37" s="6"/>
      <c r="AJ37" s="6"/>
      <c r="AK37" s="6"/>
      <c r="AL37" s="6"/>
      <c r="AM37" s="6"/>
      <c r="AN37" s="6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</row>
    <row r="38" spans="1:104" s="50" customFormat="1" ht="39.950000000000003" customHeight="1" x14ac:dyDescent="0.25">
      <c r="A38" s="44"/>
      <c r="B38" s="40"/>
      <c r="C38" s="40"/>
      <c r="D38" s="40"/>
      <c r="E38" s="40"/>
      <c r="F38" s="40"/>
      <c r="G38" s="45"/>
      <c r="H38" s="39"/>
      <c r="I38" s="14"/>
      <c r="J38" s="41"/>
      <c r="K38" s="41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7"/>
      <c r="AG38" s="7"/>
      <c r="AH38" s="7"/>
      <c r="AI38" s="6"/>
      <c r="AJ38" s="6"/>
      <c r="AK38" s="6"/>
      <c r="AL38" s="6"/>
      <c r="AM38" s="6"/>
      <c r="AN38" s="6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</row>
    <row r="39" spans="1:104" ht="39.950000000000003" customHeight="1" x14ac:dyDescent="0.25">
      <c r="A39" s="10"/>
      <c r="B39" s="6"/>
      <c r="C39" s="6"/>
      <c r="D39" s="6"/>
      <c r="E39" s="6"/>
      <c r="F39" s="6"/>
      <c r="G39" s="46"/>
      <c r="H39" s="6"/>
      <c r="I39" s="6"/>
      <c r="J39" s="8"/>
      <c r="K39" s="8"/>
      <c r="L39" s="8"/>
      <c r="M39" s="8"/>
      <c r="N39" s="8"/>
      <c r="O39" s="7"/>
      <c r="P39" s="7"/>
      <c r="Q39" s="7"/>
      <c r="R39" s="7"/>
      <c r="S39" s="7"/>
      <c r="T39" s="7"/>
      <c r="U39" s="6"/>
      <c r="V39" s="6"/>
      <c r="W39" s="6"/>
      <c r="X39" s="6"/>
      <c r="Y39" s="6"/>
      <c r="Z39" s="6"/>
      <c r="AA39" s="7"/>
      <c r="AB39" s="7"/>
      <c r="AC39" s="7"/>
      <c r="AD39" s="7"/>
      <c r="AE39" s="7"/>
      <c r="AF39" s="7"/>
      <c r="AG39" s="7"/>
      <c r="AH39" s="7"/>
      <c r="AI39" s="7"/>
      <c r="AJ39" s="6"/>
      <c r="AK39" s="6"/>
      <c r="AL39" s="6"/>
      <c r="AM39" s="6"/>
      <c r="AN39" s="6"/>
      <c r="AO39" s="6"/>
      <c r="AP39" s="8"/>
      <c r="AQ39" s="8"/>
      <c r="AR39" s="6"/>
      <c r="AS39" s="6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</row>
    <row r="40" spans="1:104" ht="39.950000000000003" customHeight="1" thickBot="1" x14ac:dyDescent="0.3">
      <c r="A40" s="47"/>
      <c r="B40" s="48"/>
      <c r="C40" s="48"/>
      <c r="D40" s="48"/>
      <c r="E40" s="48"/>
      <c r="F40" s="48"/>
      <c r="G40" s="49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</row>
    <row r="41" spans="1:104" ht="39.950000000000003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</row>
    <row r="42" spans="1:104" ht="32.25" customHeight="1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</row>
    <row r="43" spans="1:104" ht="32.25" customHeight="1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</row>
    <row r="44" spans="1:104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</row>
    <row r="45" spans="1:104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</row>
    <row r="46" spans="1:104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</row>
    <row r="47" spans="1:104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</row>
    <row r="48" spans="1:104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</row>
    <row r="49" spans="1:104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</row>
    <row r="50" spans="1:104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</row>
    <row r="51" spans="1:104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</row>
    <row r="52" spans="1:104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</row>
    <row r="53" spans="1:104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</row>
    <row r="54" spans="1:104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</row>
    <row r="55" spans="1:104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</row>
    <row r="56" spans="1:104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</row>
    <row r="57" spans="1:104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</row>
    <row r="58" spans="1:104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</row>
    <row r="59" spans="1:104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</row>
    <row r="60" spans="1:104" x14ac:dyDescent="0.25">
      <c r="A60" s="57">
        <v>0</v>
      </c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</row>
    <row r="61" spans="1:104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</row>
    <row r="62" spans="1:104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</row>
    <row r="63" spans="1:104" x14ac:dyDescent="0.25">
      <c r="A63" s="22"/>
      <c r="B63" s="58"/>
      <c r="C63" s="58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</row>
    <row r="64" spans="1:104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</row>
    <row r="65" spans="1:104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</row>
    <row r="66" spans="1:104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</row>
  </sheetData>
  <sheetProtection selectLockedCells="1"/>
  <customSheetViews>
    <customSheetView guid="{8FC35363-868F-4EDE-AB9E-1079786AF750}" scale="50" showGridLines="0">
      <selection activeCell="A3" sqref="A3:B3"/>
      <pageMargins left="0.7" right="0.7" top="0.75" bottom="0.75" header="0.3" footer="0.3"/>
      <pageSetup orientation="portrait" verticalDpi="300" r:id="rId1"/>
    </customSheetView>
    <customSheetView guid="{A31020AA-FEEF-4C36-BC93-A6FB09B83AD8}" scale="50" showGridLines="0">
      <selection activeCell="A3" sqref="A3:B3"/>
      <pageMargins left="0.7" right="0.7" top="0.75" bottom="0.75" header="0.3" footer="0.3"/>
      <pageSetup orientation="portrait" verticalDpi="300" r:id="rId2"/>
    </customSheetView>
  </customSheetViews>
  <mergeCells count="568">
    <mergeCell ref="A37:G37"/>
    <mergeCell ref="P35:Q35"/>
    <mergeCell ref="R35:S35"/>
    <mergeCell ref="T35:U35"/>
    <mergeCell ref="V35:W35"/>
    <mergeCell ref="X35:Y35"/>
    <mergeCell ref="Z35:AA35"/>
    <mergeCell ref="X34:Y34"/>
    <mergeCell ref="Z34:AA34"/>
    <mergeCell ref="AB34:AC34"/>
    <mergeCell ref="AD34:AE34"/>
    <mergeCell ref="AG34:AK34"/>
    <mergeCell ref="A35:F35"/>
    <mergeCell ref="G35:H35"/>
    <mergeCell ref="J35:K35"/>
    <mergeCell ref="L35:M35"/>
    <mergeCell ref="N35:O35"/>
    <mergeCell ref="AB35:AC35"/>
    <mergeCell ref="AD35:AE35"/>
    <mergeCell ref="A34:F34"/>
    <mergeCell ref="G34:H34"/>
    <mergeCell ref="J34:K34"/>
    <mergeCell ref="L34:M34"/>
    <mergeCell ref="N34:O34"/>
    <mergeCell ref="P34:Q34"/>
    <mergeCell ref="R34:S34"/>
    <mergeCell ref="T34:U34"/>
    <mergeCell ref="V34:W34"/>
    <mergeCell ref="BE30:BF30"/>
    <mergeCell ref="A32:E32"/>
    <mergeCell ref="J32:Q32"/>
    <mergeCell ref="A33:F33"/>
    <mergeCell ref="G33:H33"/>
    <mergeCell ref="J33:K33"/>
    <mergeCell ref="L33:M33"/>
    <mergeCell ref="N33:O33"/>
    <mergeCell ref="P33:Q33"/>
    <mergeCell ref="R33:S33"/>
    <mergeCell ref="AO30:AP30"/>
    <mergeCell ref="AQ30:AR30"/>
    <mergeCell ref="AT30:AU30"/>
    <mergeCell ref="AV30:AW30"/>
    <mergeCell ref="AY30:AZ30"/>
    <mergeCell ref="BB30:BC30"/>
    <mergeCell ref="AG33:AK33"/>
    <mergeCell ref="T33:U33"/>
    <mergeCell ref="V33:W33"/>
    <mergeCell ref="X33:Y33"/>
    <mergeCell ref="Z33:AA33"/>
    <mergeCell ref="AB33:AC33"/>
    <mergeCell ref="AD33:AE33"/>
    <mergeCell ref="G30:H30"/>
    <mergeCell ref="R30:S30"/>
    <mergeCell ref="AB30:AC30"/>
    <mergeCell ref="AE30:AF30"/>
    <mergeCell ref="AH30:AI30"/>
    <mergeCell ref="AK30:AL30"/>
    <mergeCell ref="AM30:AN30"/>
    <mergeCell ref="AK29:AL29"/>
    <mergeCell ref="AM29:AN29"/>
    <mergeCell ref="BB28:BC28"/>
    <mergeCell ref="BE28:BF28"/>
    <mergeCell ref="G29:H29"/>
    <mergeCell ref="R29:S29"/>
    <mergeCell ref="AB29:AC29"/>
    <mergeCell ref="AE29:AF29"/>
    <mergeCell ref="AH29:AI29"/>
    <mergeCell ref="AY29:AZ29"/>
    <mergeCell ref="BB29:BC29"/>
    <mergeCell ref="BE29:BF29"/>
    <mergeCell ref="AO29:AP29"/>
    <mergeCell ref="AQ29:AR29"/>
    <mergeCell ref="AT29:AU29"/>
    <mergeCell ref="AV29:AW29"/>
    <mergeCell ref="A27:E27"/>
    <mergeCell ref="A28:H28"/>
    <mergeCell ref="J28:S28"/>
    <mergeCell ref="U28:AC28"/>
    <mergeCell ref="AE28:AF28"/>
    <mergeCell ref="AH28:AI28"/>
    <mergeCell ref="AT25:AU25"/>
    <mergeCell ref="AV25:AW25"/>
    <mergeCell ref="AZ25:BA25"/>
    <mergeCell ref="AK28:AR28"/>
    <mergeCell ref="AT28:AW28"/>
    <mergeCell ref="AY28:AZ28"/>
    <mergeCell ref="F26:J26"/>
    <mergeCell ref="BB25:BC25"/>
    <mergeCell ref="BD25:BE25"/>
    <mergeCell ref="A26:E26"/>
    <mergeCell ref="T26:V26"/>
    <mergeCell ref="W26:X26"/>
    <mergeCell ref="AA25:AB25"/>
    <mergeCell ref="AJ25:AK25"/>
    <mergeCell ref="AL25:AM25"/>
    <mergeCell ref="AN25:AO25"/>
    <mergeCell ref="AP25:AQ25"/>
    <mergeCell ref="AR25:AS25"/>
    <mergeCell ref="A25:B25"/>
    <mergeCell ref="C25:D25"/>
    <mergeCell ref="K25:L25"/>
    <mergeCell ref="M25:N25"/>
    <mergeCell ref="W25:X25"/>
    <mergeCell ref="Y25:Z25"/>
    <mergeCell ref="AV24:AW24"/>
    <mergeCell ref="AZ24:BA24"/>
    <mergeCell ref="BB24:BC24"/>
    <mergeCell ref="BD24:BE24"/>
    <mergeCell ref="Y24:Z24"/>
    <mergeCell ref="AA24:AB24"/>
    <mergeCell ref="AJ24:AK24"/>
    <mergeCell ref="AL24:AM24"/>
    <mergeCell ref="AN24:AO24"/>
    <mergeCell ref="AP24:AQ24"/>
    <mergeCell ref="AT23:AU23"/>
    <mergeCell ref="AV23:AW23"/>
    <mergeCell ref="AZ23:BA23"/>
    <mergeCell ref="BB23:BC23"/>
    <mergeCell ref="BD23:BE23"/>
    <mergeCell ref="A24:B24"/>
    <mergeCell ref="C24:D24"/>
    <mergeCell ref="K24:L24"/>
    <mergeCell ref="M24:N24"/>
    <mergeCell ref="W24:X24"/>
    <mergeCell ref="AA23:AB23"/>
    <mergeCell ref="AJ23:AK23"/>
    <mergeCell ref="AL23:AM23"/>
    <mergeCell ref="AN23:AO23"/>
    <mergeCell ref="AP23:AQ23"/>
    <mergeCell ref="AR23:AS23"/>
    <mergeCell ref="A23:B23"/>
    <mergeCell ref="C23:D23"/>
    <mergeCell ref="K23:L23"/>
    <mergeCell ref="M23:N23"/>
    <mergeCell ref="W23:X23"/>
    <mergeCell ref="Y23:Z23"/>
    <mergeCell ref="AR24:AS24"/>
    <mergeCell ref="AT24:AU24"/>
    <mergeCell ref="AV22:AW22"/>
    <mergeCell ref="AZ22:BA22"/>
    <mergeCell ref="BB22:BC22"/>
    <mergeCell ref="BD22:BE22"/>
    <mergeCell ref="Y22:Z22"/>
    <mergeCell ref="AA22:AB22"/>
    <mergeCell ref="AJ22:AK22"/>
    <mergeCell ref="AL22:AM22"/>
    <mergeCell ref="AN22:AO22"/>
    <mergeCell ref="AP22:AQ22"/>
    <mergeCell ref="AT21:AU21"/>
    <mergeCell ref="AV21:AW21"/>
    <mergeCell ref="AZ21:BA21"/>
    <mergeCell ref="BB21:BC21"/>
    <mergeCell ref="BD21:BE21"/>
    <mergeCell ref="A22:B22"/>
    <mergeCell ref="C22:D22"/>
    <mergeCell ref="K22:L22"/>
    <mergeCell ref="M22:N22"/>
    <mergeCell ref="W22:X22"/>
    <mergeCell ref="AA21:AB21"/>
    <mergeCell ref="AJ21:AK21"/>
    <mergeCell ref="AL21:AM21"/>
    <mergeCell ref="AN21:AO21"/>
    <mergeCell ref="AP21:AQ21"/>
    <mergeCell ref="AR21:AS21"/>
    <mergeCell ref="A21:B21"/>
    <mergeCell ref="C21:D21"/>
    <mergeCell ref="K21:L21"/>
    <mergeCell ref="M21:N21"/>
    <mergeCell ref="W21:X21"/>
    <mergeCell ref="Y21:Z21"/>
    <mergeCell ref="AR22:AS22"/>
    <mergeCell ref="AT22:AU22"/>
    <mergeCell ref="AR20:AS20"/>
    <mergeCell ref="AT20:AU20"/>
    <mergeCell ref="AV20:AW20"/>
    <mergeCell ref="AZ20:BA20"/>
    <mergeCell ref="BB20:BC20"/>
    <mergeCell ref="BD20:BE20"/>
    <mergeCell ref="Y20:Z20"/>
    <mergeCell ref="AA20:AB20"/>
    <mergeCell ref="AJ20:AK20"/>
    <mergeCell ref="AL20:AM20"/>
    <mergeCell ref="AN20:AO20"/>
    <mergeCell ref="AP20:AQ20"/>
    <mergeCell ref="A20:B20"/>
    <mergeCell ref="C20:D20"/>
    <mergeCell ref="K20:L20"/>
    <mergeCell ref="M20:N20"/>
    <mergeCell ref="W20:X20"/>
    <mergeCell ref="AA19:AB19"/>
    <mergeCell ref="AJ19:AK19"/>
    <mergeCell ref="AL19:AM19"/>
    <mergeCell ref="AN19:AO19"/>
    <mergeCell ref="A19:B19"/>
    <mergeCell ref="C19:D19"/>
    <mergeCell ref="K19:L19"/>
    <mergeCell ref="M19:N19"/>
    <mergeCell ref="W19:X19"/>
    <mergeCell ref="Y19:Z19"/>
    <mergeCell ref="AJ18:AK18"/>
    <mergeCell ref="AL18:AM18"/>
    <mergeCell ref="AN18:AO18"/>
    <mergeCell ref="AP18:AQ18"/>
    <mergeCell ref="AT19:AU19"/>
    <mergeCell ref="AV19:AW19"/>
    <mergeCell ref="AZ19:BA19"/>
    <mergeCell ref="BB19:BC19"/>
    <mergeCell ref="BD19:BE19"/>
    <mergeCell ref="AP19:AQ19"/>
    <mergeCell ref="AR19:AS19"/>
    <mergeCell ref="AT17:AU17"/>
    <mergeCell ref="AV17:AW17"/>
    <mergeCell ref="AZ17:BA17"/>
    <mergeCell ref="BB17:BC17"/>
    <mergeCell ref="BD17:BE17"/>
    <mergeCell ref="A18:B18"/>
    <mergeCell ref="C18:D18"/>
    <mergeCell ref="K18:L18"/>
    <mergeCell ref="M18:N18"/>
    <mergeCell ref="W18:X18"/>
    <mergeCell ref="AA17:AB17"/>
    <mergeCell ref="AJ17:AK17"/>
    <mergeCell ref="AL17:AM17"/>
    <mergeCell ref="AN17:AO17"/>
    <mergeCell ref="AP17:AQ17"/>
    <mergeCell ref="AR17:AS17"/>
    <mergeCell ref="AR18:AS18"/>
    <mergeCell ref="AT18:AU18"/>
    <mergeCell ref="AV18:AW18"/>
    <mergeCell ref="AZ18:BA18"/>
    <mergeCell ref="BB18:BC18"/>
    <mergeCell ref="BD18:BE18"/>
    <mergeCell ref="Y18:Z18"/>
    <mergeCell ref="AA18:AB18"/>
    <mergeCell ref="A17:B17"/>
    <mergeCell ref="C17:D17"/>
    <mergeCell ref="K17:L17"/>
    <mergeCell ref="M17:N17"/>
    <mergeCell ref="W17:X17"/>
    <mergeCell ref="Y17:Z17"/>
    <mergeCell ref="AJ16:AK16"/>
    <mergeCell ref="AL16:AM16"/>
    <mergeCell ref="AN16:AO16"/>
    <mergeCell ref="BD15:BE15"/>
    <mergeCell ref="A16:B16"/>
    <mergeCell ref="C16:D16"/>
    <mergeCell ref="K16:L16"/>
    <mergeCell ref="M16:N16"/>
    <mergeCell ref="W16:X16"/>
    <mergeCell ref="Y16:Z16"/>
    <mergeCell ref="AA16:AB16"/>
    <mergeCell ref="AJ15:AK15"/>
    <mergeCell ref="AL15:AM15"/>
    <mergeCell ref="AN15:AO15"/>
    <mergeCell ref="AP15:AQ15"/>
    <mergeCell ref="AR15:AS15"/>
    <mergeCell ref="AT15:AW15"/>
    <mergeCell ref="AV16:AW16"/>
    <mergeCell ref="AZ16:BA16"/>
    <mergeCell ref="BB16:BC16"/>
    <mergeCell ref="BD16:BE16"/>
    <mergeCell ref="AP16:AQ16"/>
    <mergeCell ref="AR16:AS16"/>
    <mergeCell ref="AT16:AU16"/>
    <mergeCell ref="BJ14:BK14"/>
    <mergeCell ref="A15:B15"/>
    <mergeCell ref="C15:D15"/>
    <mergeCell ref="K15:L15"/>
    <mergeCell ref="M15:N15"/>
    <mergeCell ref="W15:X15"/>
    <mergeCell ref="Y15:Z15"/>
    <mergeCell ref="AA15:AB15"/>
    <mergeCell ref="AT14:AU14"/>
    <mergeCell ref="AV14:AW14"/>
    <mergeCell ref="AX14:AY14"/>
    <mergeCell ref="AZ14:BA14"/>
    <mergeCell ref="BB14:BC14"/>
    <mergeCell ref="BD14:BE14"/>
    <mergeCell ref="AA14:AB14"/>
    <mergeCell ref="AJ14:AK14"/>
    <mergeCell ref="AL14:AM14"/>
    <mergeCell ref="AN14:AO14"/>
    <mergeCell ref="AP14:AQ14"/>
    <mergeCell ref="AR14:AS14"/>
    <mergeCell ref="A14:B14"/>
    <mergeCell ref="C14:D14"/>
    <mergeCell ref="AZ15:BA15"/>
    <mergeCell ref="BB15:BC15"/>
    <mergeCell ref="K14:L14"/>
    <mergeCell ref="M14:N14"/>
    <mergeCell ref="W14:X14"/>
    <mergeCell ref="Y14:Z14"/>
    <mergeCell ref="AZ13:BA13"/>
    <mergeCell ref="BB13:BC13"/>
    <mergeCell ref="BD13:BE13"/>
    <mergeCell ref="BF13:BG13"/>
    <mergeCell ref="BH13:BI13"/>
    <mergeCell ref="BF14:BG14"/>
    <mergeCell ref="BH14:BI14"/>
    <mergeCell ref="BJ13:BK13"/>
    <mergeCell ref="AN13:AO13"/>
    <mergeCell ref="AP13:AQ13"/>
    <mergeCell ref="AR13:AS13"/>
    <mergeCell ref="AT13:AU13"/>
    <mergeCell ref="AV13:AW13"/>
    <mergeCell ref="AX13:AY13"/>
    <mergeCell ref="BJ12:BK12"/>
    <mergeCell ref="A13:B13"/>
    <mergeCell ref="C13:D13"/>
    <mergeCell ref="K13:L13"/>
    <mergeCell ref="M13:N13"/>
    <mergeCell ref="W13:X13"/>
    <mergeCell ref="Y13:Z13"/>
    <mergeCell ref="AA13:AB13"/>
    <mergeCell ref="AJ13:AK13"/>
    <mergeCell ref="AL13:AM13"/>
    <mergeCell ref="AX12:AY12"/>
    <mergeCell ref="AZ12:BA12"/>
    <mergeCell ref="BB12:BC12"/>
    <mergeCell ref="BD12:BE12"/>
    <mergeCell ref="BF12:BG12"/>
    <mergeCell ref="BH12:BI12"/>
    <mergeCell ref="AL12:AM12"/>
    <mergeCell ref="BH11:BI11"/>
    <mergeCell ref="BJ11:BK11"/>
    <mergeCell ref="A12:B12"/>
    <mergeCell ref="C12:D12"/>
    <mergeCell ref="K12:L12"/>
    <mergeCell ref="M12:N12"/>
    <mergeCell ref="W12:X12"/>
    <mergeCell ref="Y12:Z12"/>
    <mergeCell ref="AA12:AB12"/>
    <mergeCell ref="AJ12:AK12"/>
    <mergeCell ref="AV11:AW11"/>
    <mergeCell ref="AX11:AY11"/>
    <mergeCell ref="AZ11:BA11"/>
    <mergeCell ref="BB11:BC11"/>
    <mergeCell ref="BD11:BE11"/>
    <mergeCell ref="BF11:BG11"/>
    <mergeCell ref="AJ11:AK11"/>
    <mergeCell ref="AL11:AM11"/>
    <mergeCell ref="AN11:AO11"/>
    <mergeCell ref="AJ10:AK10"/>
    <mergeCell ref="AL10:AM10"/>
    <mergeCell ref="AN10:AO10"/>
    <mergeCell ref="AP10:AQ10"/>
    <mergeCell ref="AN12:AO12"/>
    <mergeCell ref="AP12:AQ12"/>
    <mergeCell ref="AR12:AS12"/>
    <mergeCell ref="AT12:AU12"/>
    <mergeCell ref="AV12:AW12"/>
    <mergeCell ref="A10:B10"/>
    <mergeCell ref="C10:D10"/>
    <mergeCell ref="K10:L10"/>
    <mergeCell ref="M10:N10"/>
    <mergeCell ref="W10:X10"/>
    <mergeCell ref="Y10:Z10"/>
    <mergeCell ref="AZ9:BA9"/>
    <mergeCell ref="BB9:BC9"/>
    <mergeCell ref="AP11:AQ11"/>
    <mergeCell ref="AR11:AS11"/>
    <mergeCell ref="AT11:AU11"/>
    <mergeCell ref="A11:B11"/>
    <mergeCell ref="C11:D11"/>
    <mergeCell ref="K11:L11"/>
    <mergeCell ref="M11:N11"/>
    <mergeCell ref="W11:X11"/>
    <mergeCell ref="Y11:Z11"/>
    <mergeCell ref="AA11:AB11"/>
    <mergeCell ref="AT10:AU10"/>
    <mergeCell ref="AV10:AW10"/>
    <mergeCell ref="AX10:AY10"/>
    <mergeCell ref="AZ10:BA10"/>
    <mergeCell ref="BB10:BC10"/>
    <mergeCell ref="AA10:AB10"/>
    <mergeCell ref="BH9:BI9"/>
    <mergeCell ref="BJ9:BK9"/>
    <mergeCell ref="AN9:AO9"/>
    <mergeCell ref="AP9:AQ9"/>
    <mergeCell ref="AR9:AS9"/>
    <mergeCell ref="AT9:AU9"/>
    <mergeCell ref="AV9:AW9"/>
    <mergeCell ref="AX9:AY9"/>
    <mergeCell ref="AR10:AS10"/>
    <mergeCell ref="BF10:BG10"/>
    <mergeCell ref="BH10:BI10"/>
    <mergeCell ref="BJ10:BK10"/>
    <mergeCell ref="BD10:BE10"/>
    <mergeCell ref="BJ8:BK8"/>
    <mergeCell ref="A9:B9"/>
    <mergeCell ref="C9:D9"/>
    <mergeCell ref="K9:L9"/>
    <mergeCell ref="M9:N9"/>
    <mergeCell ref="W9:X9"/>
    <mergeCell ref="Y9:Z9"/>
    <mergeCell ref="AA9:AB9"/>
    <mergeCell ref="AJ9:AK9"/>
    <mergeCell ref="AL9:AM9"/>
    <mergeCell ref="AX8:AY8"/>
    <mergeCell ref="AZ8:BA8"/>
    <mergeCell ref="BB8:BC8"/>
    <mergeCell ref="BD8:BE8"/>
    <mergeCell ref="BF8:BG8"/>
    <mergeCell ref="BH8:BI8"/>
    <mergeCell ref="AL8:AM8"/>
    <mergeCell ref="AN8:AO8"/>
    <mergeCell ref="AP8:AQ8"/>
    <mergeCell ref="AR8:AS8"/>
    <mergeCell ref="AT8:AU8"/>
    <mergeCell ref="AV8:AW8"/>
    <mergeCell ref="BD9:BE9"/>
    <mergeCell ref="BF9:BG9"/>
    <mergeCell ref="AX7:AY7"/>
    <mergeCell ref="AZ7:BA7"/>
    <mergeCell ref="BB7:BC7"/>
    <mergeCell ref="BD7:BE7"/>
    <mergeCell ref="BF7:BG7"/>
    <mergeCell ref="AJ7:AK7"/>
    <mergeCell ref="AL7:AM7"/>
    <mergeCell ref="AN7:AO7"/>
    <mergeCell ref="AP7:AQ7"/>
    <mergeCell ref="AR7:AS7"/>
    <mergeCell ref="AT7:AU7"/>
    <mergeCell ref="A8:B8"/>
    <mergeCell ref="C8:D8"/>
    <mergeCell ref="K8:L8"/>
    <mergeCell ref="M8:N8"/>
    <mergeCell ref="W8:X8"/>
    <mergeCell ref="Y8:Z8"/>
    <mergeCell ref="AA8:AB8"/>
    <mergeCell ref="AJ8:AK8"/>
    <mergeCell ref="AV7:AW7"/>
    <mergeCell ref="BJ6:BK6"/>
    <mergeCell ref="A7:B7"/>
    <mergeCell ref="C7:D7"/>
    <mergeCell ref="K7:L7"/>
    <mergeCell ref="M7:N7"/>
    <mergeCell ref="W7:X7"/>
    <mergeCell ref="Y7:Z7"/>
    <mergeCell ref="AA7:AB7"/>
    <mergeCell ref="AT6:AU6"/>
    <mergeCell ref="AV6:AW6"/>
    <mergeCell ref="AX6:AY6"/>
    <mergeCell ref="AZ6:BA6"/>
    <mergeCell ref="BB6:BC6"/>
    <mergeCell ref="BD6:BE6"/>
    <mergeCell ref="AA6:AB6"/>
    <mergeCell ref="AJ6:AK6"/>
    <mergeCell ref="AL6:AM6"/>
    <mergeCell ref="AN6:AO6"/>
    <mergeCell ref="AP6:AQ6"/>
    <mergeCell ref="AR6:AS6"/>
    <mergeCell ref="A6:B6"/>
    <mergeCell ref="C6:D6"/>
    <mergeCell ref="BH7:BI7"/>
    <mergeCell ref="BJ7:BK7"/>
    <mergeCell ref="K6:L6"/>
    <mergeCell ref="M6:N6"/>
    <mergeCell ref="W6:X6"/>
    <mergeCell ref="Y6:Z6"/>
    <mergeCell ref="AZ5:BA5"/>
    <mergeCell ref="BB5:BC5"/>
    <mergeCell ref="BD5:BE5"/>
    <mergeCell ref="BF5:BG5"/>
    <mergeCell ref="BH5:BI5"/>
    <mergeCell ref="BF6:BG6"/>
    <mergeCell ref="BH6:BI6"/>
    <mergeCell ref="BJ5:BK5"/>
    <mergeCell ref="AN5:AO5"/>
    <mergeCell ref="AP5:AQ5"/>
    <mergeCell ref="AR5:AS5"/>
    <mergeCell ref="AT5:AU5"/>
    <mergeCell ref="AV5:AW5"/>
    <mergeCell ref="AX5:AY5"/>
    <mergeCell ref="BJ4:BK4"/>
    <mergeCell ref="A5:B5"/>
    <mergeCell ref="C5:D5"/>
    <mergeCell ref="K5:L5"/>
    <mergeCell ref="M5:N5"/>
    <mergeCell ref="W5:X5"/>
    <mergeCell ref="Y5:Z5"/>
    <mergeCell ref="AA5:AB5"/>
    <mergeCell ref="AJ5:AK5"/>
    <mergeCell ref="AL5:AM5"/>
    <mergeCell ref="AX4:AY4"/>
    <mergeCell ref="AZ4:BA4"/>
    <mergeCell ref="BB4:BC4"/>
    <mergeCell ref="BD4:BE4"/>
    <mergeCell ref="BF4:BG4"/>
    <mergeCell ref="BH4:BI4"/>
    <mergeCell ref="AL4:AM4"/>
    <mergeCell ref="AN4:AO4"/>
    <mergeCell ref="AP4:AQ4"/>
    <mergeCell ref="AR4:AS4"/>
    <mergeCell ref="AT4:AU4"/>
    <mergeCell ref="AV4:AW4"/>
    <mergeCell ref="BH3:BI3"/>
    <mergeCell ref="BJ3:BK3"/>
    <mergeCell ref="A4:B4"/>
    <mergeCell ref="C4:D4"/>
    <mergeCell ref="K4:L4"/>
    <mergeCell ref="M4:N4"/>
    <mergeCell ref="W4:X4"/>
    <mergeCell ref="Y4:Z4"/>
    <mergeCell ref="AA4:AB4"/>
    <mergeCell ref="AJ4:AK4"/>
    <mergeCell ref="AV3:AW3"/>
    <mergeCell ref="AX3:AY3"/>
    <mergeCell ref="AZ3:BA3"/>
    <mergeCell ref="BB3:BC3"/>
    <mergeCell ref="BD3:BE3"/>
    <mergeCell ref="BF3:BG3"/>
    <mergeCell ref="AJ3:AK3"/>
    <mergeCell ref="AL3:AM3"/>
    <mergeCell ref="AN3:AO3"/>
    <mergeCell ref="BH2:BI2"/>
    <mergeCell ref="BJ2:BK2"/>
    <mergeCell ref="A3:B3"/>
    <mergeCell ref="C3:D3"/>
    <mergeCell ref="K3:L3"/>
    <mergeCell ref="M3:N3"/>
    <mergeCell ref="W3:X3"/>
    <mergeCell ref="Y3:Z3"/>
    <mergeCell ref="AA3:AB3"/>
    <mergeCell ref="AT2:AU2"/>
    <mergeCell ref="AV2:AW2"/>
    <mergeCell ref="AX2:AY2"/>
    <mergeCell ref="AZ2:BA2"/>
    <mergeCell ref="BB2:BC2"/>
    <mergeCell ref="BD2:BE2"/>
    <mergeCell ref="AA2:AB2"/>
    <mergeCell ref="AJ2:AK2"/>
    <mergeCell ref="AL2:AM2"/>
    <mergeCell ref="AN2:AO2"/>
    <mergeCell ref="AP2:AQ2"/>
    <mergeCell ref="M1:N1"/>
    <mergeCell ref="AP3:AQ3"/>
    <mergeCell ref="AR3:AS3"/>
    <mergeCell ref="AT3:AU3"/>
    <mergeCell ref="BF2:BG2"/>
    <mergeCell ref="O1:V1"/>
    <mergeCell ref="AR2:AS2"/>
    <mergeCell ref="BD1:BE1"/>
    <mergeCell ref="BF1:BG1"/>
    <mergeCell ref="BH1:BI1"/>
    <mergeCell ref="BJ1:BK1"/>
    <mergeCell ref="A2:B2"/>
    <mergeCell ref="C2:D2"/>
    <mergeCell ref="K2:L2"/>
    <mergeCell ref="M2:N2"/>
    <mergeCell ref="W2:X2"/>
    <mergeCell ref="Y2:Z2"/>
    <mergeCell ref="AN1:AO1"/>
    <mergeCell ref="AP1:AQ1"/>
    <mergeCell ref="AR1:AS1"/>
    <mergeCell ref="AT1:AY1"/>
    <mergeCell ref="AZ1:BA1"/>
    <mergeCell ref="BB1:BC1"/>
    <mergeCell ref="W1:X1"/>
    <mergeCell ref="Y1:Z1"/>
    <mergeCell ref="AA1:AB1"/>
    <mergeCell ref="AC1:AI1"/>
    <mergeCell ref="AJ1:AK1"/>
    <mergeCell ref="AL1:AM1"/>
    <mergeCell ref="A1:B1"/>
    <mergeCell ref="C1:D1"/>
    <mergeCell ref="E1:J1"/>
    <mergeCell ref="K1:L1"/>
  </mergeCells>
  <conditionalFormatting sqref="AG34 U30:AB30">
    <cfRule type="cellIs" dxfId="117" priority="57" stopIfTrue="1" operator="greaterThan">
      <formula>0</formula>
    </cfRule>
  </conditionalFormatting>
  <conditionalFormatting sqref="AG34 U30:AB30">
    <cfRule type="cellIs" dxfId="116" priority="56" stopIfTrue="1" operator="equal">
      <formula>0</formula>
    </cfRule>
  </conditionalFormatting>
  <conditionalFormatting sqref="O3:V3 O5:V5 O7:V7 O9:V9 O11:V11 O13:V13 O15:V15 O17:V17 O19:V19 O21:V21 O23:V23 O25:V25 E3:J3 E5:J5 E7:J7 E9:J9 E11:J11 E13:J13 E15:J15 E17:J17 E19:J19 E21:J21 E23:J23 E25:J25 AT3:AT14 AV3:AV14 AN17:AN25 BJ3:BJ14">
    <cfRule type="cellIs" dxfId="115" priority="51" stopIfTrue="1" operator="equal">
      <formula>"X"</formula>
    </cfRule>
  </conditionalFormatting>
  <conditionalFormatting sqref="AY30 AH30 O3:V3 O5:V5 O7:V7 O9:V9 O11:V11 O13:V13 O15:V15 O17:V17 O19:V19 O21:V21 O23:V23 O25:V25 J30:S30 AK30 AQ30 W3:X15 E3:J3 E5:J5 E7:J7 E9:J9 E11:J11 E13:J13 E15:J15 E17:J17 E19:J19 E21:J21 E23:J23 E25:J25 G30:H30 A30:E30 AM30 AT3:AT14 AV3:AV14 AN17:AN25 BJ3:BJ14 W17:X26">
    <cfRule type="cellIs" dxfId="114" priority="55" stopIfTrue="1" operator="greaterThan">
      <formula>0</formula>
    </cfRule>
  </conditionalFormatting>
  <conditionalFormatting sqref="AY30 AK30 AM30 AQ30 AH30 J30:S30 W3:X15 G30:H30 A30:E30 W17:X26">
    <cfRule type="cellIs" dxfId="113" priority="53" stopIfTrue="1" operator="equal">
      <formula>0</formula>
    </cfRule>
  </conditionalFormatting>
  <conditionalFormatting sqref="O3:V25 E3:J25 AT3:AT14 AV3:AV14 AN17:AN25 BJ3:BJ14">
    <cfRule type="cellIs" dxfId="112" priority="52" stopIfTrue="1" operator="equal">
      <formula>"PO"</formula>
    </cfRule>
    <cfRule type="cellIs" dxfId="111" priority="54" stopIfTrue="1" operator="equal">
      <formula>"ip"</formula>
    </cfRule>
  </conditionalFormatting>
  <conditionalFormatting sqref="AV17:AW25">
    <cfRule type="cellIs" dxfId="110" priority="47" stopIfTrue="1" operator="equal">
      <formula>"X"</formula>
    </cfRule>
  </conditionalFormatting>
  <conditionalFormatting sqref="AV17:AW25">
    <cfRule type="cellIs" dxfId="109" priority="50" stopIfTrue="1" operator="greaterThan">
      <formula>0</formula>
    </cfRule>
  </conditionalFormatting>
  <conditionalFormatting sqref="AV17:AW25">
    <cfRule type="cellIs" dxfId="108" priority="48" stopIfTrue="1" operator="equal">
      <formula>"PO"</formula>
    </cfRule>
    <cfRule type="cellIs" dxfId="107" priority="49" stopIfTrue="1" operator="equal">
      <formula>"ip"</formula>
    </cfRule>
  </conditionalFormatting>
  <conditionalFormatting sqref="AI3 AI5 AI7 AI9 AI11 AI13 AI15 AI17 AI19 AI21 AI23 AI25">
    <cfRule type="cellIs" dxfId="106" priority="39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105" priority="43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104" priority="46" stopIfTrue="1" operator="greaterThan">
      <formula>0</formula>
    </cfRule>
  </conditionalFormatting>
  <conditionalFormatting sqref="AC3:AH25">
    <cfRule type="cellIs" dxfId="103" priority="44" stopIfTrue="1" operator="equal">
      <formula>"PO"</formula>
    </cfRule>
    <cfRule type="cellIs" dxfId="102" priority="45" stopIfTrue="1" operator="equal">
      <formula>"ip"</formula>
    </cfRule>
  </conditionalFormatting>
  <conditionalFormatting sqref="AI3 AI5 AI7 AI9 AI11 AI13 AI15 AI17 AI19 AI21 AI23 AI25">
    <cfRule type="cellIs" dxfId="101" priority="42" stopIfTrue="1" operator="greaterThan">
      <formula>0</formula>
    </cfRule>
  </conditionalFormatting>
  <conditionalFormatting sqref="AI3:AI25">
    <cfRule type="cellIs" dxfId="100" priority="40" stopIfTrue="1" operator="equal">
      <formula>"PO"</formula>
    </cfRule>
    <cfRule type="cellIs" dxfId="99" priority="41" stopIfTrue="1" operator="equal">
      <formula>"ip"</formula>
    </cfRule>
  </conditionalFormatting>
  <conditionalFormatting sqref="AN8:AO14 AN3:AO5">
    <cfRule type="cellIs" dxfId="98" priority="35" stopIfTrue="1" operator="equal">
      <formula>"X"</formula>
    </cfRule>
  </conditionalFormatting>
  <conditionalFormatting sqref="AN8:AO14 AN3:AO5">
    <cfRule type="cellIs" dxfId="97" priority="38" stopIfTrue="1" operator="greaterThan">
      <formula>0</formula>
    </cfRule>
  </conditionalFormatting>
  <conditionalFormatting sqref="AN8:AO14 AN3:AO5">
    <cfRule type="cellIs" dxfId="96" priority="36" stopIfTrue="1" operator="equal">
      <formula>"PO"</formula>
    </cfRule>
    <cfRule type="cellIs" dxfId="95" priority="37" stopIfTrue="1" operator="equal">
      <formula>"ip"</formula>
    </cfRule>
  </conditionalFormatting>
  <conditionalFormatting sqref="AN6:AO7">
    <cfRule type="cellIs" dxfId="94" priority="31" stopIfTrue="1" operator="equal">
      <formula>"X"</formula>
    </cfRule>
  </conditionalFormatting>
  <conditionalFormatting sqref="AN6:AO7">
    <cfRule type="cellIs" dxfId="93" priority="34" stopIfTrue="1" operator="greaterThan">
      <formula>0</formula>
    </cfRule>
  </conditionalFormatting>
  <conditionalFormatting sqref="AN6:AO7">
    <cfRule type="cellIs" dxfId="92" priority="32" stopIfTrue="1" operator="equal">
      <formula>"PO"</formula>
    </cfRule>
    <cfRule type="cellIs" dxfId="91" priority="33" stopIfTrue="1" operator="equal">
      <formula>"ip"</formula>
    </cfRule>
  </conditionalFormatting>
  <conditionalFormatting sqref="AE30">
    <cfRule type="cellIs" dxfId="90" priority="29" stopIfTrue="1" operator="equal">
      <formula>0</formula>
    </cfRule>
  </conditionalFormatting>
  <conditionalFormatting sqref="AE30">
    <cfRule type="cellIs" dxfId="89" priority="30" stopIfTrue="1" operator="greaterThan">
      <formula>0</formula>
    </cfRule>
  </conditionalFormatting>
  <conditionalFormatting sqref="AX3:AY14">
    <cfRule type="cellIs" dxfId="88" priority="25" stopIfTrue="1" operator="equal">
      <formula>"X"</formula>
    </cfRule>
  </conditionalFormatting>
  <conditionalFormatting sqref="AX3:AY14">
    <cfRule type="cellIs" dxfId="87" priority="28" stopIfTrue="1" operator="greaterThan">
      <formula>0</formula>
    </cfRule>
  </conditionalFormatting>
  <conditionalFormatting sqref="AX3:AY14">
    <cfRule type="cellIs" dxfId="86" priority="26" stopIfTrue="1" operator="equal">
      <formula>"PO"</formula>
    </cfRule>
    <cfRule type="cellIs" dxfId="85" priority="27" stopIfTrue="1" operator="equal">
      <formula>"ip"</formula>
    </cfRule>
  </conditionalFormatting>
  <conditionalFormatting sqref="AO30">
    <cfRule type="cellIs" dxfId="84" priority="23" stopIfTrue="1" operator="equal">
      <formula>0</formula>
    </cfRule>
  </conditionalFormatting>
  <conditionalFormatting sqref="AO30">
    <cfRule type="cellIs" dxfId="83" priority="24" stopIfTrue="1" operator="greaterThan">
      <formula>0</formula>
    </cfRule>
  </conditionalFormatting>
  <conditionalFormatting sqref="F30">
    <cfRule type="cellIs" dxfId="82" priority="22" stopIfTrue="1" operator="greaterThan">
      <formula>0</formula>
    </cfRule>
  </conditionalFormatting>
  <conditionalFormatting sqref="F30">
    <cfRule type="cellIs" dxfId="81" priority="21" stopIfTrue="1" operator="equal">
      <formula>0</formula>
    </cfRule>
  </conditionalFormatting>
  <conditionalFormatting sqref="AT17:AU25">
    <cfRule type="cellIs" dxfId="80" priority="16" stopIfTrue="1" operator="greaterThan">
      <formula>0</formula>
    </cfRule>
  </conditionalFormatting>
  <conditionalFormatting sqref="BD3:BE14">
    <cfRule type="cellIs" dxfId="79" priority="17" stopIfTrue="1" operator="equal">
      <formula>"X"</formula>
    </cfRule>
  </conditionalFormatting>
  <conditionalFormatting sqref="BD3:BE14">
    <cfRule type="cellIs" dxfId="78" priority="20" stopIfTrue="1" operator="greaterThan">
      <formula>0</formula>
    </cfRule>
  </conditionalFormatting>
  <conditionalFormatting sqref="BD3:BE14">
    <cfRule type="cellIs" dxfId="77" priority="18" stopIfTrue="1" operator="equal">
      <formula>"PO"</formula>
    </cfRule>
    <cfRule type="cellIs" dxfId="76" priority="19" stopIfTrue="1" operator="equal">
      <formula>"ip"</formula>
    </cfRule>
  </conditionalFormatting>
  <conditionalFormatting sqref="AT17:AU25">
    <cfRule type="cellIs" dxfId="75" priority="13" stopIfTrue="1" operator="equal">
      <formula>"X"</formula>
    </cfRule>
  </conditionalFormatting>
  <conditionalFormatting sqref="AT17:AU25">
    <cfRule type="cellIs" dxfId="74" priority="14" stopIfTrue="1" operator="equal">
      <formula>"PO"</formula>
    </cfRule>
    <cfRule type="cellIs" dxfId="73" priority="15" stopIfTrue="1" operator="equal">
      <formula>"ip"</formula>
    </cfRule>
  </conditionalFormatting>
  <conditionalFormatting sqref="BD17:BE25">
    <cfRule type="cellIs" dxfId="72" priority="9" stopIfTrue="1" operator="equal">
      <formula>"X"</formula>
    </cfRule>
  </conditionalFormatting>
  <conditionalFormatting sqref="BD17:BE25">
    <cfRule type="cellIs" dxfId="71" priority="12" stopIfTrue="1" operator="greaterThan">
      <formula>0</formula>
    </cfRule>
  </conditionalFormatting>
  <conditionalFormatting sqref="BD17:BE25">
    <cfRule type="cellIs" dxfId="70" priority="10" stopIfTrue="1" operator="equal">
      <formula>"PO"</formula>
    </cfRule>
    <cfRule type="cellIs" dxfId="69" priority="11" stopIfTrue="1" operator="equal">
      <formula>"ip"</formula>
    </cfRule>
  </conditionalFormatting>
  <conditionalFormatting sqref="AT30">
    <cfRule type="cellIs" dxfId="68" priority="8" stopIfTrue="1" operator="greaterThan">
      <formula>0</formula>
    </cfRule>
  </conditionalFormatting>
  <conditionalFormatting sqref="AT30">
    <cfRule type="cellIs" dxfId="67" priority="7" stopIfTrue="1" operator="equal">
      <formula>0</formula>
    </cfRule>
  </conditionalFormatting>
  <conditionalFormatting sqref="AV30">
    <cfRule type="cellIs" dxfId="66" priority="5" stopIfTrue="1" operator="equal">
      <formula>0</formula>
    </cfRule>
  </conditionalFormatting>
  <conditionalFormatting sqref="AV30">
    <cfRule type="cellIs" dxfId="65" priority="6" stopIfTrue="1" operator="greaterThan">
      <formula>0</formula>
    </cfRule>
  </conditionalFormatting>
  <conditionalFormatting sqref="BB30">
    <cfRule type="cellIs" dxfId="64" priority="4" stopIfTrue="1" operator="greaterThan">
      <formula>0</formula>
    </cfRule>
  </conditionalFormatting>
  <conditionalFormatting sqref="BB30">
    <cfRule type="cellIs" dxfId="63" priority="3" stopIfTrue="1" operator="equal">
      <formula>0</formula>
    </cfRule>
  </conditionalFormatting>
  <conditionalFormatting sqref="BE30">
    <cfRule type="cellIs" dxfId="62" priority="2" stopIfTrue="1" operator="greaterThan">
      <formula>0</formula>
    </cfRule>
  </conditionalFormatting>
  <conditionalFormatting sqref="BE30">
    <cfRule type="cellIs" dxfId="61" priority="1" stopIfTrue="1" operator="equal">
      <formula>0</formula>
    </cfRule>
  </conditionalFormatting>
  <pageMargins left="0.7" right="0.7" top="0.75" bottom="0.75" header="0.3" footer="0.3"/>
  <pageSetup orientation="portrait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print="0" autoFill="0" autoPict="0" macro="[0]!clearShift">
                <anchor moveWithCells="1" sizeWithCells="1">
                  <from>
                    <xdr:col>8</xdr:col>
                    <xdr:colOff>533400</xdr:colOff>
                    <xdr:row>37</xdr:row>
                    <xdr:rowOff>381000</xdr:rowOff>
                  </from>
                  <to>
                    <xdr:col>14</xdr:col>
                    <xdr:colOff>533400</xdr:colOff>
                    <xdr:row>39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7" name="Button 2">
              <controlPr defaultSize="0" print="0" autoFill="0" autoPict="0" macro="[0]!ClearFlags">
                <anchor moveWithCells="1" sizeWithCells="1">
                  <from>
                    <xdr:col>8</xdr:col>
                    <xdr:colOff>552450</xdr:colOff>
                    <xdr:row>36</xdr:row>
                    <xdr:rowOff>0</xdr:rowOff>
                  </from>
                  <to>
                    <xdr:col>12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8" name="Button 3">
              <controlPr defaultSize="0" print="0" autoFill="0" autoPict="0" macro="[0]!setPrevFirs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Button 4">
              <controlPr defaultSize="0" print="0" autoFill="0" autoPict="0" macro="[0]!setPrevSecond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10" name="Button 5">
              <controlPr defaultSize="0" print="0" autoFill="0" autoPict="0" macro="[0]!setPrevLast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A1:DR65"/>
  <sheetViews>
    <sheetView showGridLines="0" zoomScale="50" zoomScaleNormal="50" workbookViewId="0">
      <selection activeCell="A3" sqref="A3:B3"/>
    </sheetView>
  </sheetViews>
  <sheetFormatPr defaultColWidth="8.7109375" defaultRowHeight="15" x14ac:dyDescent="0.25"/>
  <cols>
    <col min="1" max="49" width="8.5703125" style="18" customWidth="1"/>
    <col min="50" max="16384" width="8.7109375" style="18"/>
  </cols>
  <sheetData>
    <row r="1" spans="1:122" ht="39.950000000000003" customHeight="1" thickTop="1" thickBot="1" x14ac:dyDescent="0.3">
      <c r="A1" s="166" t="s">
        <v>0</v>
      </c>
      <c r="B1" s="106"/>
      <c r="C1" s="142" t="s">
        <v>23</v>
      </c>
      <c r="D1" s="143"/>
      <c r="E1" s="205" t="s">
        <v>24</v>
      </c>
      <c r="F1" s="213"/>
      <c r="G1" s="213"/>
      <c r="H1" s="213"/>
      <c r="I1" s="213"/>
      <c r="J1" s="214"/>
      <c r="K1" s="166" t="s">
        <v>0</v>
      </c>
      <c r="L1" s="106"/>
      <c r="M1" s="143" t="s">
        <v>23</v>
      </c>
      <c r="N1" s="106"/>
      <c r="O1" s="205" t="s">
        <v>25</v>
      </c>
      <c r="P1" s="213"/>
      <c r="Q1" s="213"/>
      <c r="R1" s="213"/>
      <c r="S1" s="213"/>
      <c r="T1" s="213"/>
      <c r="U1" s="213"/>
      <c r="V1" s="214"/>
      <c r="W1" s="220" t="s">
        <v>13</v>
      </c>
      <c r="X1" s="221"/>
      <c r="Y1" s="166" t="s">
        <v>0</v>
      </c>
      <c r="Z1" s="106"/>
      <c r="AA1" s="106" t="s">
        <v>23</v>
      </c>
      <c r="AB1" s="106"/>
      <c r="AC1" s="205" t="s">
        <v>26</v>
      </c>
      <c r="AD1" s="213"/>
      <c r="AE1" s="213"/>
      <c r="AF1" s="213"/>
      <c r="AG1" s="213"/>
      <c r="AH1" s="213"/>
      <c r="AI1" s="213"/>
      <c r="AJ1" s="166" t="s">
        <v>0</v>
      </c>
      <c r="AK1" s="106"/>
      <c r="AL1" s="106" t="s">
        <v>23</v>
      </c>
      <c r="AM1" s="106"/>
      <c r="AN1" s="222" t="s">
        <v>32</v>
      </c>
      <c r="AO1" s="223"/>
      <c r="AP1" s="166" t="s">
        <v>43</v>
      </c>
      <c r="AQ1" s="106"/>
      <c r="AR1" s="142" t="s">
        <v>44</v>
      </c>
      <c r="AS1" s="143"/>
      <c r="AT1" s="205" t="s">
        <v>28</v>
      </c>
      <c r="AU1" s="213"/>
      <c r="AV1" s="213"/>
      <c r="AW1" s="213"/>
      <c r="AX1" s="213"/>
      <c r="AY1" s="214"/>
      <c r="AZ1" s="166" t="s">
        <v>43</v>
      </c>
      <c r="BA1" s="106"/>
      <c r="BB1" s="106" t="s">
        <v>44</v>
      </c>
      <c r="BC1" s="106"/>
      <c r="BD1" s="222" t="s">
        <v>29</v>
      </c>
      <c r="BE1" s="223"/>
      <c r="BF1" s="166" t="s">
        <v>43</v>
      </c>
      <c r="BG1" s="106"/>
      <c r="BH1" s="274" t="s">
        <v>44</v>
      </c>
      <c r="BI1" s="274"/>
      <c r="BJ1" s="281" t="s">
        <v>27</v>
      </c>
      <c r="BK1" s="282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</row>
    <row r="2" spans="1:122" ht="27.95" customHeight="1" thickTop="1" thickBot="1" x14ac:dyDescent="0.5">
      <c r="A2" s="173"/>
      <c r="B2" s="174"/>
      <c r="C2" s="173"/>
      <c r="D2" s="174"/>
      <c r="E2" s="29">
        <v>79</v>
      </c>
      <c r="F2" s="29">
        <v>80</v>
      </c>
      <c r="G2" s="29">
        <v>85</v>
      </c>
      <c r="H2" s="29" t="s">
        <v>2</v>
      </c>
      <c r="I2" s="21">
        <v>41</v>
      </c>
      <c r="J2" s="20">
        <v>42</v>
      </c>
      <c r="K2" s="173"/>
      <c r="L2" s="174"/>
      <c r="M2" s="173"/>
      <c r="N2" s="174"/>
      <c r="O2" s="29">
        <v>81</v>
      </c>
      <c r="P2" s="29">
        <v>82</v>
      </c>
      <c r="Q2" s="29">
        <v>83</v>
      </c>
      <c r="R2" s="29">
        <v>84</v>
      </c>
      <c r="S2" s="29">
        <v>87</v>
      </c>
      <c r="T2" s="29">
        <v>88</v>
      </c>
      <c r="U2" s="29">
        <v>89</v>
      </c>
      <c r="V2" s="30">
        <v>90</v>
      </c>
      <c r="W2" s="224" t="s">
        <v>1</v>
      </c>
      <c r="X2" s="225"/>
      <c r="Y2" s="173"/>
      <c r="Z2" s="174"/>
      <c r="AA2" s="173"/>
      <c r="AB2" s="174"/>
      <c r="AC2" s="29">
        <v>50</v>
      </c>
      <c r="AD2" s="29">
        <v>51</v>
      </c>
      <c r="AE2" s="29">
        <v>52</v>
      </c>
      <c r="AF2" s="29">
        <v>53</v>
      </c>
      <c r="AG2" s="29">
        <v>54</v>
      </c>
      <c r="AH2" s="29">
        <v>55</v>
      </c>
      <c r="AI2" s="30" t="s">
        <v>3</v>
      </c>
      <c r="AJ2" s="173"/>
      <c r="AK2" s="174"/>
      <c r="AL2" s="173"/>
      <c r="AM2" s="174"/>
      <c r="AN2" s="228" t="s">
        <v>18</v>
      </c>
      <c r="AO2" s="229"/>
      <c r="AP2" s="173"/>
      <c r="AQ2" s="174"/>
      <c r="AR2" s="173"/>
      <c r="AS2" s="174"/>
      <c r="AT2" s="235" t="s">
        <v>20</v>
      </c>
      <c r="AU2" s="236"/>
      <c r="AV2" s="235" t="s">
        <v>21</v>
      </c>
      <c r="AW2" s="236"/>
      <c r="AX2" s="228" t="s">
        <v>5</v>
      </c>
      <c r="AY2" s="229"/>
      <c r="AZ2" s="173"/>
      <c r="BA2" s="174"/>
      <c r="BB2" s="173"/>
      <c r="BC2" s="174"/>
      <c r="BD2" s="228" t="s">
        <v>6</v>
      </c>
      <c r="BE2" s="229"/>
      <c r="BF2" s="173"/>
      <c r="BG2" s="174"/>
      <c r="BH2" s="173"/>
      <c r="BI2" s="174"/>
      <c r="BJ2" s="228" t="s">
        <v>4</v>
      </c>
      <c r="BK2" s="22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</row>
    <row r="3" spans="1:122" ht="32.25" customHeight="1" thickBot="1" x14ac:dyDescent="0.5">
      <c r="A3" s="294"/>
      <c r="B3" s="295"/>
      <c r="C3" s="296"/>
      <c r="D3" s="297"/>
      <c r="E3" s="60"/>
      <c r="F3" s="60"/>
      <c r="G3" s="60"/>
      <c r="H3" s="60"/>
      <c r="I3" s="60"/>
      <c r="J3" s="61"/>
      <c r="K3" s="294"/>
      <c r="L3" s="295"/>
      <c r="M3" s="298"/>
      <c r="N3" s="299"/>
      <c r="O3" s="62"/>
      <c r="P3" s="62"/>
      <c r="Q3" s="62"/>
      <c r="R3" s="62"/>
      <c r="S3" s="62"/>
      <c r="T3" s="62"/>
      <c r="U3" s="62"/>
      <c r="V3" s="63"/>
      <c r="W3" s="230">
        <f>SUM(E3:J3,O3:V3,BJ3,AT3:BE3,AC3:AI3,AN3)</f>
        <v>0</v>
      </c>
      <c r="X3" s="231"/>
      <c r="Y3" s="294"/>
      <c r="Z3" s="295"/>
      <c r="AA3" s="300"/>
      <c r="AB3" s="299"/>
      <c r="AC3" s="62"/>
      <c r="AD3" s="62"/>
      <c r="AE3" s="62"/>
      <c r="AF3" s="62"/>
      <c r="AG3" s="62"/>
      <c r="AH3" s="64"/>
      <c r="AI3" s="63"/>
      <c r="AJ3" s="159"/>
      <c r="AK3" s="160"/>
      <c r="AL3" s="148"/>
      <c r="AM3" s="149"/>
      <c r="AN3" s="233"/>
      <c r="AO3" s="234"/>
      <c r="AP3" s="266"/>
      <c r="AQ3" s="267"/>
      <c r="AR3" s="268"/>
      <c r="AS3" s="268"/>
      <c r="AT3" s="264"/>
      <c r="AU3" s="264"/>
      <c r="AV3" s="237"/>
      <c r="AW3" s="237"/>
      <c r="AX3" s="238"/>
      <c r="AY3" s="239"/>
      <c r="AZ3" s="159"/>
      <c r="BA3" s="160"/>
      <c r="BB3" s="270"/>
      <c r="BC3" s="271"/>
      <c r="BD3" s="84"/>
      <c r="BE3" s="85"/>
      <c r="BF3" s="275"/>
      <c r="BG3" s="276"/>
      <c r="BH3" s="265"/>
      <c r="BI3" s="265"/>
      <c r="BJ3" s="283"/>
      <c r="BK3" s="284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</row>
    <row r="4" spans="1:122" ht="32.25" customHeight="1" thickBot="1" x14ac:dyDescent="0.5">
      <c r="A4" s="301"/>
      <c r="B4" s="302"/>
      <c r="C4" s="303"/>
      <c r="D4" s="304"/>
      <c r="E4" s="65"/>
      <c r="F4" s="66"/>
      <c r="G4" s="66"/>
      <c r="H4" s="66"/>
      <c r="I4" s="67"/>
      <c r="J4" s="68"/>
      <c r="K4" s="305"/>
      <c r="L4" s="306"/>
      <c r="M4" s="307"/>
      <c r="N4" s="308"/>
      <c r="O4" s="65"/>
      <c r="P4" s="66"/>
      <c r="Q4" s="66"/>
      <c r="R4" s="66"/>
      <c r="S4" s="66"/>
      <c r="T4" s="66"/>
      <c r="U4" s="66"/>
      <c r="V4" s="68"/>
      <c r="W4" s="157">
        <f>SUM(AN4,BJ4,AT4:BE4)</f>
        <v>0</v>
      </c>
      <c r="X4" s="158"/>
      <c r="Y4" s="305"/>
      <c r="Z4" s="306"/>
      <c r="AA4" s="309"/>
      <c r="AB4" s="308"/>
      <c r="AC4" s="65"/>
      <c r="AD4" s="66"/>
      <c r="AE4" s="66"/>
      <c r="AF4" s="66"/>
      <c r="AG4" s="66"/>
      <c r="AH4" s="69"/>
      <c r="AI4" s="70"/>
      <c r="AJ4" s="93"/>
      <c r="AK4" s="94"/>
      <c r="AL4" s="122"/>
      <c r="AM4" s="123"/>
      <c r="AN4" s="124"/>
      <c r="AO4" s="125"/>
      <c r="AP4" s="242"/>
      <c r="AQ4" s="117"/>
      <c r="AR4" s="115"/>
      <c r="AS4" s="115"/>
      <c r="AT4" s="113"/>
      <c r="AU4" s="113"/>
      <c r="AV4" s="84"/>
      <c r="AW4" s="84"/>
      <c r="AX4" s="113"/>
      <c r="AY4" s="114"/>
      <c r="AZ4" s="93"/>
      <c r="BA4" s="94"/>
      <c r="BB4" s="86"/>
      <c r="BC4" s="87"/>
      <c r="BD4" s="84"/>
      <c r="BE4" s="85"/>
      <c r="BF4" s="277"/>
      <c r="BG4" s="278"/>
      <c r="BH4" s="115"/>
      <c r="BI4" s="115"/>
      <c r="BJ4" s="84"/>
      <c r="BK4" s="85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</row>
    <row r="5" spans="1:122" ht="32.25" customHeight="1" thickBot="1" x14ac:dyDescent="0.5">
      <c r="A5" s="310"/>
      <c r="B5" s="311"/>
      <c r="C5" s="312"/>
      <c r="D5" s="313"/>
      <c r="E5" s="62"/>
      <c r="F5" s="62"/>
      <c r="G5" s="62"/>
      <c r="H5" s="62"/>
      <c r="I5" s="62"/>
      <c r="J5" s="63"/>
      <c r="K5" s="314"/>
      <c r="L5" s="315"/>
      <c r="M5" s="316"/>
      <c r="N5" s="317"/>
      <c r="O5" s="62"/>
      <c r="P5" s="62"/>
      <c r="Q5" s="62"/>
      <c r="R5" s="62"/>
      <c r="S5" s="62"/>
      <c r="T5" s="62"/>
      <c r="U5" s="62"/>
      <c r="V5" s="63"/>
      <c r="W5" s="157">
        <f>SUM(E5:J5,O5:V5,BJ5,AT5:BE5,AC5:AI5,AN5)</f>
        <v>0</v>
      </c>
      <c r="X5" s="158"/>
      <c r="Y5" s="314"/>
      <c r="Z5" s="315"/>
      <c r="AA5" s="318"/>
      <c r="AB5" s="317"/>
      <c r="AC5" s="62"/>
      <c r="AD5" s="62"/>
      <c r="AE5" s="62"/>
      <c r="AF5" s="62"/>
      <c r="AG5" s="62"/>
      <c r="AH5" s="64"/>
      <c r="AI5" s="63"/>
      <c r="AJ5" s="93"/>
      <c r="AK5" s="94"/>
      <c r="AL5" s="122"/>
      <c r="AM5" s="123"/>
      <c r="AN5" s="124"/>
      <c r="AO5" s="125"/>
      <c r="AP5" s="242"/>
      <c r="AQ5" s="117"/>
      <c r="AR5" s="115"/>
      <c r="AS5" s="115"/>
      <c r="AT5" s="113"/>
      <c r="AU5" s="113"/>
      <c r="AV5" s="84"/>
      <c r="AW5" s="84"/>
      <c r="AX5" s="113"/>
      <c r="AY5" s="114"/>
      <c r="AZ5" s="93"/>
      <c r="BA5" s="94"/>
      <c r="BB5" s="86"/>
      <c r="BC5" s="87"/>
      <c r="BD5" s="84"/>
      <c r="BE5" s="85"/>
      <c r="BF5" s="277"/>
      <c r="BG5" s="278"/>
      <c r="BH5" s="115"/>
      <c r="BI5" s="115"/>
      <c r="BJ5" s="84"/>
      <c r="BK5" s="85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</row>
    <row r="6" spans="1:122" ht="32.25" customHeight="1" thickBot="1" x14ac:dyDescent="0.5">
      <c r="A6" s="301"/>
      <c r="B6" s="302"/>
      <c r="C6" s="303"/>
      <c r="D6" s="304"/>
      <c r="E6" s="65"/>
      <c r="F6" s="66"/>
      <c r="G6" s="66"/>
      <c r="H6" s="66"/>
      <c r="I6" s="67"/>
      <c r="J6" s="68"/>
      <c r="K6" s="305"/>
      <c r="L6" s="306"/>
      <c r="M6" s="307"/>
      <c r="N6" s="308"/>
      <c r="O6" s="65"/>
      <c r="P6" s="66"/>
      <c r="Q6" s="66"/>
      <c r="R6" s="66"/>
      <c r="S6" s="66"/>
      <c r="T6" s="66"/>
      <c r="U6" s="66"/>
      <c r="V6" s="68"/>
      <c r="W6" s="157">
        <f>SUM(AN6,AT6:BE6)</f>
        <v>0</v>
      </c>
      <c r="X6" s="158"/>
      <c r="Y6" s="305"/>
      <c r="Z6" s="306"/>
      <c r="AA6" s="309"/>
      <c r="AB6" s="308"/>
      <c r="AC6" s="65"/>
      <c r="AD6" s="66"/>
      <c r="AE6" s="66"/>
      <c r="AF6" s="66"/>
      <c r="AG6" s="66"/>
      <c r="AH6" s="69"/>
      <c r="AI6" s="70"/>
      <c r="AJ6" s="93"/>
      <c r="AK6" s="94"/>
      <c r="AL6" s="122"/>
      <c r="AM6" s="123"/>
      <c r="AN6" s="124"/>
      <c r="AO6" s="125"/>
      <c r="AP6" s="242"/>
      <c r="AQ6" s="117"/>
      <c r="AR6" s="115"/>
      <c r="AS6" s="115"/>
      <c r="AT6" s="113"/>
      <c r="AU6" s="113"/>
      <c r="AV6" s="84"/>
      <c r="AW6" s="84"/>
      <c r="AX6" s="113"/>
      <c r="AY6" s="114"/>
      <c r="AZ6" s="93"/>
      <c r="BA6" s="94"/>
      <c r="BB6" s="86"/>
      <c r="BC6" s="87"/>
      <c r="BD6" s="84"/>
      <c r="BE6" s="85"/>
      <c r="BF6" s="277"/>
      <c r="BG6" s="278"/>
      <c r="BH6" s="115"/>
      <c r="BI6" s="115"/>
      <c r="BJ6" s="84"/>
      <c r="BK6" s="85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</row>
    <row r="7" spans="1:122" ht="32.25" customHeight="1" thickBot="1" x14ac:dyDescent="0.5">
      <c r="A7" s="310"/>
      <c r="B7" s="311"/>
      <c r="C7" s="312"/>
      <c r="D7" s="313"/>
      <c r="E7" s="62"/>
      <c r="F7" s="62"/>
      <c r="G7" s="62"/>
      <c r="H7" s="62"/>
      <c r="I7" s="62"/>
      <c r="J7" s="63"/>
      <c r="K7" s="314"/>
      <c r="L7" s="315"/>
      <c r="M7" s="316"/>
      <c r="N7" s="317"/>
      <c r="O7" s="62"/>
      <c r="P7" s="62"/>
      <c r="Q7" s="62"/>
      <c r="R7" s="62"/>
      <c r="S7" s="62"/>
      <c r="T7" s="62"/>
      <c r="U7" s="62"/>
      <c r="V7" s="63"/>
      <c r="W7" s="157">
        <f>SUM(E7:J7,O7:V7,AT7:BE7,AC7:AI7,AN7)</f>
        <v>0</v>
      </c>
      <c r="X7" s="158"/>
      <c r="Y7" s="314"/>
      <c r="Z7" s="315"/>
      <c r="AA7" s="318"/>
      <c r="AB7" s="317"/>
      <c r="AC7" s="62"/>
      <c r="AD7" s="62"/>
      <c r="AE7" s="62"/>
      <c r="AF7" s="62"/>
      <c r="AG7" s="62"/>
      <c r="AH7" s="64"/>
      <c r="AI7" s="63"/>
      <c r="AJ7" s="93"/>
      <c r="AK7" s="94"/>
      <c r="AL7" s="122"/>
      <c r="AM7" s="123"/>
      <c r="AN7" s="124"/>
      <c r="AO7" s="125"/>
      <c r="AP7" s="242"/>
      <c r="AQ7" s="117"/>
      <c r="AR7" s="115"/>
      <c r="AS7" s="115"/>
      <c r="AT7" s="113"/>
      <c r="AU7" s="113"/>
      <c r="AV7" s="84"/>
      <c r="AW7" s="84"/>
      <c r="AX7" s="113"/>
      <c r="AY7" s="114"/>
      <c r="AZ7" s="93"/>
      <c r="BA7" s="94"/>
      <c r="BB7" s="86"/>
      <c r="BC7" s="87"/>
      <c r="BD7" s="84"/>
      <c r="BE7" s="85"/>
      <c r="BF7" s="277"/>
      <c r="BG7" s="278"/>
      <c r="BH7" s="115"/>
      <c r="BI7" s="115"/>
      <c r="BJ7" s="84"/>
      <c r="BK7" s="85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</row>
    <row r="8" spans="1:122" ht="32.25" customHeight="1" thickBot="1" x14ac:dyDescent="0.5">
      <c r="A8" s="301"/>
      <c r="B8" s="302"/>
      <c r="C8" s="303"/>
      <c r="D8" s="304"/>
      <c r="E8" s="65"/>
      <c r="F8" s="66"/>
      <c r="G8" s="66"/>
      <c r="H8" s="66"/>
      <c r="I8" s="67"/>
      <c r="J8" s="68"/>
      <c r="K8" s="305"/>
      <c r="L8" s="306"/>
      <c r="M8" s="307"/>
      <c r="N8" s="308"/>
      <c r="O8" s="65"/>
      <c r="P8" s="66"/>
      <c r="Q8" s="66"/>
      <c r="R8" s="66"/>
      <c r="S8" s="66"/>
      <c r="T8" s="66"/>
      <c r="U8" s="66"/>
      <c r="V8" s="68"/>
      <c r="W8" s="157">
        <f>SUM(AN8,AT8:AY8,BD8,BJ8)</f>
        <v>0</v>
      </c>
      <c r="X8" s="158"/>
      <c r="Y8" s="305"/>
      <c r="Z8" s="306"/>
      <c r="AA8" s="309"/>
      <c r="AB8" s="308"/>
      <c r="AC8" s="65"/>
      <c r="AD8" s="66"/>
      <c r="AE8" s="66"/>
      <c r="AF8" s="66"/>
      <c r="AG8" s="66"/>
      <c r="AH8" s="69"/>
      <c r="AI8" s="70"/>
      <c r="AJ8" s="93"/>
      <c r="AK8" s="94"/>
      <c r="AL8" s="122"/>
      <c r="AM8" s="123"/>
      <c r="AN8" s="240"/>
      <c r="AO8" s="241"/>
      <c r="AP8" s="242"/>
      <c r="AQ8" s="117"/>
      <c r="AR8" s="115"/>
      <c r="AS8" s="115"/>
      <c r="AT8" s="113"/>
      <c r="AU8" s="113"/>
      <c r="AV8" s="84"/>
      <c r="AW8" s="84"/>
      <c r="AX8" s="113"/>
      <c r="AY8" s="114"/>
      <c r="AZ8" s="93"/>
      <c r="BA8" s="94"/>
      <c r="BB8" s="86"/>
      <c r="BC8" s="87"/>
      <c r="BD8" s="84"/>
      <c r="BE8" s="85"/>
      <c r="BF8" s="277"/>
      <c r="BG8" s="278"/>
      <c r="BH8" s="115"/>
      <c r="BI8" s="115"/>
      <c r="BJ8" s="84"/>
      <c r="BK8" s="85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</row>
    <row r="9" spans="1:122" ht="32.25" customHeight="1" thickBot="1" x14ac:dyDescent="0.5">
      <c r="A9" s="310"/>
      <c r="B9" s="311"/>
      <c r="C9" s="312"/>
      <c r="D9" s="313"/>
      <c r="E9" s="62"/>
      <c r="F9" s="62"/>
      <c r="G9" s="62"/>
      <c r="H9" s="62"/>
      <c r="I9" s="62"/>
      <c r="J9" s="63"/>
      <c r="K9" s="314"/>
      <c r="L9" s="315"/>
      <c r="M9" s="316"/>
      <c r="N9" s="317"/>
      <c r="O9" s="62"/>
      <c r="P9" s="62"/>
      <c r="Q9" s="62"/>
      <c r="R9" s="62"/>
      <c r="S9" s="62"/>
      <c r="T9" s="62"/>
      <c r="U9" s="62"/>
      <c r="V9" s="63"/>
      <c r="W9" s="157">
        <f>SUM(E9:J9,O9:V9,AC9:AI9,AN9,AT9:AY9,BD9,BJ9)</f>
        <v>0</v>
      </c>
      <c r="X9" s="158"/>
      <c r="Y9" s="314"/>
      <c r="Z9" s="315"/>
      <c r="AA9" s="318"/>
      <c r="AB9" s="317"/>
      <c r="AC9" s="62"/>
      <c r="AD9" s="62"/>
      <c r="AE9" s="62"/>
      <c r="AF9" s="62"/>
      <c r="AG9" s="62"/>
      <c r="AH9" s="64"/>
      <c r="AI9" s="63"/>
      <c r="AJ9" s="93"/>
      <c r="AK9" s="94"/>
      <c r="AL9" s="122"/>
      <c r="AM9" s="123"/>
      <c r="AN9" s="124"/>
      <c r="AO9" s="125"/>
      <c r="AP9" s="242"/>
      <c r="AQ9" s="117"/>
      <c r="AR9" s="115"/>
      <c r="AS9" s="115"/>
      <c r="AT9" s="113"/>
      <c r="AU9" s="113"/>
      <c r="AV9" s="84"/>
      <c r="AW9" s="84"/>
      <c r="AX9" s="113"/>
      <c r="AY9" s="114"/>
      <c r="AZ9" s="93"/>
      <c r="BA9" s="94"/>
      <c r="BB9" s="86"/>
      <c r="BC9" s="87"/>
      <c r="BD9" s="84"/>
      <c r="BE9" s="85"/>
      <c r="BF9" s="277"/>
      <c r="BG9" s="278"/>
      <c r="BH9" s="115"/>
      <c r="BI9" s="115"/>
      <c r="BJ9" s="84"/>
      <c r="BK9" s="85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</row>
    <row r="10" spans="1:122" ht="32.25" customHeight="1" thickBot="1" x14ac:dyDescent="0.5">
      <c r="A10" s="301"/>
      <c r="B10" s="302"/>
      <c r="C10" s="303"/>
      <c r="D10" s="304"/>
      <c r="E10" s="65"/>
      <c r="F10" s="66"/>
      <c r="G10" s="66"/>
      <c r="H10" s="66"/>
      <c r="I10" s="67"/>
      <c r="J10" s="68"/>
      <c r="K10" s="305"/>
      <c r="L10" s="306"/>
      <c r="M10" s="307"/>
      <c r="N10" s="308"/>
      <c r="O10" s="65"/>
      <c r="P10" s="66"/>
      <c r="Q10" s="66"/>
      <c r="R10" s="66"/>
      <c r="S10" s="66"/>
      <c r="T10" s="66"/>
      <c r="U10" s="66"/>
      <c r="V10" s="68"/>
      <c r="W10" s="157">
        <f>SUM(AN10,AT10:AY10,BD10,BJ10)</f>
        <v>0</v>
      </c>
      <c r="X10" s="158"/>
      <c r="Y10" s="305"/>
      <c r="Z10" s="306"/>
      <c r="AA10" s="309"/>
      <c r="AB10" s="308"/>
      <c r="AC10" s="65"/>
      <c r="AD10" s="66"/>
      <c r="AE10" s="66"/>
      <c r="AF10" s="66"/>
      <c r="AG10" s="66"/>
      <c r="AH10" s="69"/>
      <c r="AI10" s="70"/>
      <c r="AJ10" s="93"/>
      <c r="AK10" s="94"/>
      <c r="AL10" s="122"/>
      <c r="AM10" s="123"/>
      <c r="AN10" s="124"/>
      <c r="AO10" s="125"/>
      <c r="AP10" s="242"/>
      <c r="AQ10" s="117"/>
      <c r="AR10" s="115"/>
      <c r="AS10" s="115"/>
      <c r="AT10" s="113"/>
      <c r="AU10" s="113"/>
      <c r="AV10" s="84"/>
      <c r="AW10" s="84"/>
      <c r="AX10" s="113"/>
      <c r="AY10" s="114"/>
      <c r="AZ10" s="93"/>
      <c r="BA10" s="94"/>
      <c r="BB10" s="86"/>
      <c r="BC10" s="87"/>
      <c r="BD10" s="84"/>
      <c r="BE10" s="85"/>
      <c r="BF10" s="277"/>
      <c r="BG10" s="278"/>
      <c r="BH10" s="115"/>
      <c r="BI10" s="115"/>
      <c r="BJ10" s="84"/>
      <c r="BK10" s="85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</row>
    <row r="11" spans="1:122" ht="32.25" customHeight="1" thickBot="1" x14ac:dyDescent="0.5">
      <c r="A11" s="310"/>
      <c r="B11" s="311"/>
      <c r="C11" s="312"/>
      <c r="D11" s="313"/>
      <c r="E11" s="62"/>
      <c r="F11" s="62"/>
      <c r="G11" s="62"/>
      <c r="H11" s="62"/>
      <c r="I11" s="62"/>
      <c r="J11" s="63"/>
      <c r="K11" s="314"/>
      <c r="L11" s="315"/>
      <c r="M11" s="316"/>
      <c r="N11" s="317"/>
      <c r="O11" s="62"/>
      <c r="P11" s="62"/>
      <c r="Q11" s="62"/>
      <c r="R11" s="62"/>
      <c r="S11" s="62"/>
      <c r="T11" s="62"/>
      <c r="U11" s="62"/>
      <c r="V11" s="63"/>
      <c r="W11" s="157">
        <f>SUM(E11:J11,O11:V11,AC11:AI11,AN11,AT11:AY11,BD11,BJ11)</f>
        <v>0</v>
      </c>
      <c r="X11" s="158"/>
      <c r="Y11" s="314"/>
      <c r="Z11" s="315"/>
      <c r="AA11" s="318"/>
      <c r="AB11" s="317"/>
      <c r="AC11" s="62"/>
      <c r="AD11" s="62"/>
      <c r="AE11" s="62"/>
      <c r="AF11" s="62"/>
      <c r="AG11" s="62"/>
      <c r="AH11" s="64"/>
      <c r="AI11" s="63"/>
      <c r="AJ11" s="93"/>
      <c r="AK11" s="94"/>
      <c r="AL11" s="122"/>
      <c r="AM11" s="123"/>
      <c r="AN11" s="124"/>
      <c r="AO11" s="125"/>
      <c r="AP11" s="242"/>
      <c r="AQ11" s="117"/>
      <c r="AR11" s="115"/>
      <c r="AS11" s="115"/>
      <c r="AT11" s="113"/>
      <c r="AU11" s="113"/>
      <c r="AV11" s="84"/>
      <c r="AW11" s="84"/>
      <c r="AX11" s="113"/>
      <c r="AY11" s="114"/>
      <c r="AZ11" s="93"/>
      <c r="BA11" s="94"/>
      <c r="BB11" s="86"/>
      <c r="BC11" s="87"/>
      <c r="BD11" s="84"/>
      <c r="BE11" s="85"/>
      <c r="BF11" s="277"/>
      <c r="BG11" s="278"/>
      <c r="BH11" s="115"/>
      <c r="BI11" s="115"/>
      <c r="BJ11" s="84"/>
      <c r="BK11" s="85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</row>
    <row r="12" spans="1:122" ht="32.25" customHeight="1" thickBot="1" x14ac:dyDescent="0.5">
      <c r="A12" s="301"/>
      <c r="B12" s="302"/>
      <c r="C12" s="303"/>
      <c r="D12" s="304"/>
      <c r="E12" s="65"/>
      <c r="F12" s="66"/>
      <c r="G12" s="66"/>
      <c r="H12" s="66"/>
      <c r="I12" s="67"/>
      <c r="J12" s="68"/>
      <c r="K12" s="305"/>
      <c r="L12" s="306"/>
      <c r="M12" s="307"/>
      <c r="N12" s="308"/>
      <c r="O12" s="65"/>
      <c r="P12" s="66"/>
      <c r="Q12" s="66"/>
      <c r="R12" s="66"/>
      <c r="S12" s="66"/>
      <c r="T12" s="66"/>
      <c r="U12" s="66"/>
      <c r="V12" s="68"/>
      <c r="W12" s="157">
        <f>SUM(AN12,AT12:AY12,BD12,BJ12)</f>
        <v>0</v>
      </c>
      <c r="X12" s="158"/>
      <c r="Y12" s="305"/>
      <c r="Z12" s="306"/>
      <c r="AA12" s="309"/>
      <c r="AB12" s="308"/>
      <c r="AC12" s="65"/>
      <c r="AD12" s="66"/>
      <c r="AE12" s="66"/>
      <c r="AF12" s="66"/>
      <c r="AG12" s="66"/>
      <c r="AH12" s="69"/>
      <c r="AI12" s="70"/>
      <c r="AJ12" s="93"/>
      <c r="AK12" s="94"/>
      <c r="AL12" s="122"/>
      <c r="AM12" s="123"/>
      <c r="AN12" s="124"/>
      <c r="AO12" s="125"/>
      <c r="AP12" s="242"/>
      <c r="AQ12" s="117"/>
      <c r="AR12" s="115"/>
      <c r="AS12" s="115"/>
      <c r="AT12" s="113"/>
      <c r="AU12" s="113"/>
      <c r="AV12" s="84"/>
      <c r="AW12" s="84"/>
      <c r="AX12" s="113"/>
      <c r="AY12" s="114"/>
      <c r="AZ12" s="93"/>
      <c r="BA12" s="94"/>
      <c r="BB12" s="86"/>
      <c r="BC12" s="87"/>
      <c r="BD12" s="84"/>
      <c r="BE12" s="85"/>
      <c r="BF12" s="277"/>
      <c r="BG12" s="278"/>
      <c r="BH12" s="115"/>
      <c r="BI12" s="115"/>
      <c r="BJ12" s="84"/>
      <c r="BK12" s="85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</row>
    <row r="13" spans="1:122" ht="32.25" customHeight="1" thickBot="1" x14ac:dyDescent="0.5">
      <c r="A13" s="310"/>
      <c r="B13" s="311"/>
      <c r="C13" s="312"/>
      <c r="D13" s="313"/>
      <c r="E13" s="62"/>
      <c r="F13" s="62"/>
      <c r="G13" s="62"/>
      <c r="H13" s="62"/>
      <c r="I13" s="62"/>
      <c r="J13" s="63"/>
      <c r="K13" s="314"/>
      <c r="L13" s="315"/>
      <c r="M13" s="316"/>
      <c r="N13" s="317"/>
      <c r="O13" s="62"/>
      <c r="P13" s="62"/>
      <c r="Q13" s="62"/>
      <c r="R13" s="62"/>
      <c r="S13" s="62"/>
      <c r="T13" s="62"/>
      <c r="U13" s="62"/>
      <c r="V13" s="63"/>
      <c r="W13" s="157">
        <f>SUM(E13:J13,O13:V13,AC13:AI13,AN13,AT13:AY13,BD13,BJ13)</f>
        <v>0</v>
      </c>
      <c r="X13" s="158"/>
      <c r="Y13" s="314"/>
      <c r="Z13" s="315"/>
      <c r="AA13" s="318"/>
      <c r="AB13" s="317"/>
      <c r="AC13" s="62"/>
      <c r="AD13" s="62"/>
      <c r="AE13" s="62"/>
      <c r="AF13" s="62"/>
      <c r="AG13" s="62"/>
      <c r="AH13" s="64"/>
      <c r="AI13" s="63"/>
      <c r="AJ13" s="93"/>
      <c r="AK13" s="94"/>
      <c r="AL13" s="122"/>
      <c r="AM13" s="123"/>
      <c r="AN13" s="124"/>
      <c r="AO13" s="125"/>
      <c r="AP13" s="242"/>
      <c r="AQ13" s="117"/>
      <c r="AR13" s="115"/>
      <c r="AS13" s="115"/>
      <c r="AT13" s="113"/>
      <c r="AU13" s="113"/>
      <c r="AV13" s="84"/>
      <c r="AW13" s="84"/>
      <c r="AX13" s="113"/>
      <c r="AY13" s="114"/>
      <c r="AZ13" s="93"/>
      <c r="BA13" s="94"/>
      <c r="BB13" s="86"/>
      <c r="BC13" s="87"/>
      <c r="BD13" s="84"/>
      <c r="BE13" s="85"/>
      <c r="BF13" s="277"/>
      <c r="BG13" s="278"/>
      <c r="BH13" s="115"/>
      <c r="BI13" s="115"/>
      <c r="BJ13" s="84"/>
      <c r="BK13" s="85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</row>
    <row r="14" spans="1:122" ht="32.25" customHeight="1" thickBot="1" x14ac:dyDescent="0.5">
      <c r="A14" s="301"/>
      <c r="B14" s="302"/>
      <c r="C14" s="303"/>
      <c r="D14" s="304"/>
      <c r="E14" s="65"/>
      <c r="F14" s="66"/>
      <c r="G14" s="66"/>
      <c r="H14" s="66"/>
      <c r="I14" s="67"/>
      <c r="J14" s="68"/>
      <c r="K14" s="305"/>
      <c r="L14" s="306"/>
      <c r="M14" s="307"/>
      <c r="N14" s="308"/>
      <c r="O14" s="65"/>
      <c r="P14" s="66"/>
      <c r="Q14" s="66"/>
      <c r="R14" s="66"/>
      <c r="S14" s="66"/>
      <c r="T14" s="66"/>
      <c r="U14" s="66"/>
      <c r="V14" s="68"/>
      <c r="W14" s="157">
        <f>SUM(AN14,AT14:AY14,BD14,BJ14)</f>
        <v>0</v>
      </c>
      <c r="X14" s="158"/>
      <c r="Y14" s="305"/>
      <c r="Z14" s="306"/>
      <c r="AA14" s="309"/>
      <c r="AB14" s="308"/>
      <c r="AC14" s="65"/>
      <c r="AD14" s="66"/>
      <c r="AE14" s="66"/>
      <c r="AF14" s="66"/>
      <c r="AG14" s="66"/>
      <c r="AH14" s="69"/>
      <c r="AI14" s="70"/>
      <c r="AJ14" s="101"/>
      <c r="AK14" s="102"/>
      <c r="AL14" s="126"/>
      <c r="AM14" s="127"/>
      <c r="AN14" s="128"/>
      <c r="AO14" s="129"/>
      <c r="AP14" s="269"/>
      <c r="AQ14" s="121"/>
      <c r="AR14" s="92"/>
      <c r="AS14" s="92"/>
      <c r="AT14" s="95"/>
      <c r="AU14" s="95"/>
      <c r="AV14" s="90"/>
      <c r="AW14" s="90"/>
      <c r="AX14" s="95"/>
      <c r="AY14" s="96"/>
      <c r="AZ14" s="101"/>
      <c r="BA14" s="102"/>
      <c r="BB14" s="88"/>
      <c r="BC14" s="89"/>
      <c r="BD14" s="90"/>
      <c r="BE14" s="91"/>
      <c r="BF14" s="279"/>
      <c r="BG14" s="280"/>
      <c r="BH14" s="92"/>
      <c r="BI14" s="92"/>
      <c r="BJ14" s="90"/>
      <c r="BK14" s="91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</row>
    <row r="15" spans="1:122" ht="32.25" customHeight="1" thickTop="1" thickBot="1" x14ac:dyDescent="0.3">
      <c r="A15" s="310"/>
      <c r="B15" s="311"/>
      <c r="C15" s="312"/>
      <c r="D15" s="313"/>
      <c r="E15" s="62"/>
      <c r="F15" s="62"/>
      <c r="G15" s="62"/>
      <c r="H15" s="62"/>
      <c r="I15" s="62"/>
      <c r="J15" s="63"/>
      <c r="K15" s="314"/>
      <c r="L15" s="315"/>
      <c r="M15" s="316"/>
      <c r="N15" s="317"/>
      <c r="O15" s="62"/>
      <c r="P15" s="62"/>
      <c r="Q15" s="62"/>
      <c r="R15" s="62"/>
      <c r="S15" s="62"/>
      <c r="T15" s="62"/>
      <c r="U15" s="62"/>
      <c r="V15" s="63"/>
      <c r="W15" s="319">
        <f>SUM(E15:J15,O15:V15,AC15:AI15)</f>
        <v>0</v>
      </c>
      <c r="X15" s="320"/>
      <c r="Y15" s="314"/>
      <c r="Z15" s="315"/>
      <c r="AA15" s="318"/>
      <c r="AB15" s="317"/>
      <c r="AC15" s="62"/>
      <c r="AD15" s="62"/>
      <c r="AE15" s="62"/>
      <c r="AF15" s="62"/>
      <c r="AG15" s="62"/>
      <c r="AH15" s="64"/>
      <c r="AI15" s="63"/>
      <c r="AJ15" s="166" t="s">
        <v>43</v>
      </c>
      <c r="AK15" s="106"/>
      <c r="AL15" s="106" t="s">
        <v>44</v>
      </c>
      <c r="AM15" s="106"/>
      <c r="AN15" s="205" t="s">
        <v>30</v>
      </c>
      <c r="AO15" s="214"/>
      <c r="AP15" s="166" t="s">
        <v>0</v>
      </c>
      <c r="AQ15" s="106"/>
      <c r="AR15" s="142" t="s">
        <v>44</v>
      </c>
      <c r="AS15" s="143"/>
      <c r="AT15" s="205" t="s">
        <v>31</v>
      </c>
      <c r="AU15" s="213"/>
      <c r="AV15" s="213"/>
      <c r="AW15" s="214"/>
      <c r="AX15" s="8"/>
      <c r="AY15" s="8"/>
      <c r="AZ15" s="166" t="s">
        <v>43</v>
      </c>
      <c r="BA15" s="106"/>
      <c r="BB15" s="107" t="s">
        <v>44</v>
      </c>
      <c r="BC15" s="108"/>
      <c r="BD15" s="211" t="s">
        <v>35</v>
      </c>
      <c r="BE15" s="214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</row>
    <row r="16" spans="1:122" ht="32.25" customHeight="1" thickBot="1" x14ac:dyDescent="0.5">
      <c r="A16" s="301"/>
      <c r="B16" s="302"/>
      <c r="C16" s="303"/>
      <c r="D16" s="304"/>
      <c r="E16" s="65"/>
      <c r="F16" s="66"/>
      <c r="G16" s="66"/>
      <c r="H16" s="66"/>
      <c r="I16" s="67"/>
      <c r="J16" s="68"/>
      <c r="K16" s="305"/>
      <c r="L16" s="306"/>
      <c r="M16" s="307"/>
      <c r="N16" s="308"/>
      <c r="O16" s="65"/>
      <c r="P16" s="66"/>
      <c r="Q16" s="66"/>
      <c r="R16" s="66"/>
      <c r="S16" s="66"/>
      <c r="T16" s="66"/>
      <c r="U16" s="66"/>
      <c r="V16" s="68"/>
      <c r="W16" s="321"/>
      <c r="X16" s="322"/>
      <c r="Y16" s="305"/>
      <c r="Z16" s="306"/>
      <c r="AA16" s="309"/>
      <c r="AB16" s="308"/>
      <c r="AC16" s="65"/>
      <c r="AD16" s="66"/>
      <c r="AE16" s="66"/>
      <c r="AF16" s="66"/>
      <c r="AG16" s="66"/>
      <c r="AH16" s="69"/>
      <c r="AI16" s="70"/>
      <c r="AJ16" s="173"/>
      <c r="AK16" s="174"/>
      <c r="AL16" s="173"/>
      <c r="AM16" s="174"/>
      <c r="AN16" s="247" t="s">
        <v>7</v>
      </c>
      <c r="AO16" s="248"/>
      <c r="AP16" s="173"/>
      <c r="AQ16" s="174"/>
      <c r="AR16" s="173"/>
      <c r="AS16" s="174"/>
      <c r="AT16" s="291" t="s">
        <v>34</v>
      </c>
      <c r="AU16" s="292"/>
      <c r="AV16" s="140" t="s">
        <v>33</v>
      </c>
      <c r="AW16" s="141"/>
      <c r="AX16" s="8"/>
      <c r="AY16" s="8"/>
      <c r="AZ16" s="173"/>
      <c r="BA16" s="174"/>
      <c r="BB16" s="173"/>
      <c r="BC16" s="174"/>
      <c r="BD16" s="228" t="s">
        <v>36</v>
      </c>
      <c r="BE16" s="229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</row>
    <row r="17" spans="1:122" ht="32.25" customHeight="1" thickBot="1" x14ac:dyDescent="0.5">
      <c r="A17" s="310"/>
      <c r="B17" s="311"/>
      <c r="C17" s="312"/>
      <c r="D17" s="313"/>
      <c r="E17" s="62"/>
      <c r="F17" s="62"/>
      <c r="G17" s="62"/>
      <c r="H17" s="62"/>
      <c r="I17" s="62"/>
      <c r="J17" s="63"/>
      <c r="K17" s="314"/>
      <c r="L17" s="315"/>
      <c r="M17" s="316"/>
      <c r="N17" s="317"/>
      <c r="O17" s="62"/>
      <c r="P17" s="62"/>
      <c r="Q17" s="62"/>
      <c r="R17" s="62"/>
      <c r="S17" s="62"/>
      <c r="T17" s="62"/>
      <c r="U17" s="62"/>
      <c r="V17" s="63"/>
      <c r="W17" s="323">
        <f>SUM(E17:J17,O17:V17,AC17:AI17,AN17,AT17:AW17,BD17)</f>
        <v>0</v>
      </c>
      <c r="X17" s="324"/>
      <c r="Y17" s="314"/>
      <c r="Z17" s="315"/>
      <c r="AA17" s="318"/>
      <c r="AB17" s="317"/>
      <c r="AC17" s="62"/>
      <c r="AD17" s="62"/>
      <c r="AE17" s="62"/>
      <c r="AF17" s="62"/>
      <c r="AG17" s="62"/>
      <c r="AH17" s="64"/>
      <c r="AI17" s="63"/>
      <c r="AJ17" s="131"/>
      <c r="AK17" s="132"/>
      <c r="AL17" s="82"/>
      <c r="AM17" s="83"/>
      <c r="AN17" s="243"/>
      <c r="AO17" s="244"/>
      <c r="AP17" s="249"/>
      <c r="AQ17" s="250"/>
      <c r="AR17" s="265"/>
      <c r="AS17" s="265"/>
      <c r="AT17" s="113"/>
      <c r="AU17" s="113"/>
      <c r="AV17" s="113"/>
      <c r="AW17" s="114"/>
      <c r="AX17" s="8"/>
      <c r="AY17" s="8"/>
      <c r="AZ17" s="131"/>
      <c r="BA17" s="132"/>
      <c r="BB17" s="82"/>
      <c r="BC17" s="83"/>
      <c r="BD17" s="84"/>
      <c r="BE17" s="85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</row>
    <row r="18" spans="1:122" ht="32.25" customHeight="1" thickBot="1" x14ac:dyDescent="0.5">
      <c r="A18" s="301"/>
      <c r="B18" s="302"/>
      <c r="C18" s="303"/>
      <c r="D18" s="304"/>
      <c r="E18" s="65"/>
      <c r="F18" s="66"/>
      <c r="G18" s="66"/>
      <c r="H18" s="66"/>
      <c r="I18" s="67"/>
      <c r="J18" s="68"/>
      <c r="K18" s="305"/>
      <c r="L18" s="306"/>
      <c r="M18" s="307"/>
      <c r="N18" s="308"/>
      <c r="O18" s="65"/>
      <c r="P18" s="66"/>
      <c r="Q18" s="66"/>
      <c r="R18" s="66"/>
      <c r="S18" s="66"/>
      <c r="T18" s="66"/>
      <c r="U18" s="66"/>
      <c r="V18" s="68"/>
      <c r="W18" s="157">
        <f>SUM(AN18,AT18,AV18,BD18)</f>
        <v>0</v>
      </c>
      <c r="X18" s="158"/>
      <c r="Y18" s="305"/>
      <c r="Z18" s="306"/>
      <c r="AA18" s="309"/>
      <c r="AB18" s="308"/>
      <c r="AC18" s="65"/>
      <c r="AD18" s="66"/>
      <c r="AE18" s="66"/>
      <c r="AF18" s="66"/>
      <c r="AG18" s="66"/>
      <c r="AH18" s="69"/>
      <c r="AI18" s="70"/>
      <c r="AJ18" s="93"/>
      <c r="AK18" s="94"/>
      <c r="AL18" s="86"/>
      <c r="AM18" s="87"/>
      <c r="AN18" s="245"/>
      <c r="AO18" s="246"/>
      <c r="AP18" s="116"/>
      <c r="AQ18" s="117"/>
      <c r="AR18" s="115"/>
      <c r="AS18" s="115"/>
      <c r="AT18" s="113"/>
      <c r="AU18" s="113"/>
      <c r="AV18" s="113"/>
      <c r="AW18" s="114"/>
      <c r="AX18" s="8"/>
      <c r="AY18" s="8"/>
      <c r="AZ18" s="93"/>
      <c r="BA18" s="94"/>
      <c r="BB18" s="86"/>
      <c r="BC18" s="87"/>
      <c r="BD18" s="84"/>
      <c r="BE18" s="85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</row>
    <row r="19" spans="1:122" ht="32.25" customHeight="1" thickBot="1" x14ac:dyDescent="0.5">
      <c r="A19" s="310"/>
      <c r="B19" s="311"/>
      <c r="C19" s="312"/>
      <c r="D19" s="313"/>
      <c r="E19" s="62"/>
      <c r="F19" s="62"/>
      <c r="G19" s="62"/>
      <c r="H19" s="62"/>
      <c r="I19" s="62"/>
      <c r="J19" s="63"/>
      <c r="K19" s="314"/>
      <c r="L19" s="315"/>
      <c r="M19" s="316"/>
      <c r="N19" s="317"/>
      <c r="O19" s="62"/>
      <c r="P19" s="62"/>
      <c r="Q19" s="62"/>
      <c r="R19" s="62"/>
      <c r="S19" s="62"/>
      <c r="T19" s="62"/>
      <c r="U19" s="62"/>
      <c r="V19" s="63"/>
      <c r="W19" s="157">
        <f>SUM(E19:J19,O19:V19,AC19:AI19,AN19,AT19:AW19,BD19)</f>
        <v>0</v>
      </c>
      <c r="X19" s="158"/>
      <c r="Y19" s="314"/>
      <c r="Z19" s="315"/>
      <c r="AA19" s="318"/>
      <c r="AB19" s="317"/>
      <c r="AC19" s="62"/>
      <c r="AD19" s="62"/>
      <c r="AE19" s="62"/>
      <c r="AF19" s="62"/>
      <c r="AG19" s="62"/>
      <c r="AH19" s="64"/>
      <c r="AI19" s="63"/>
      <c r="AJ19" s="93"/>
      <c r="AK19" s="94"/>
      <c r="AL19" s="86"/>
      <c r="AM19" s="87"/>
      <c r="AN19" s="245"/>
      <c r="AO19" s="246"/>
      <c r="AP19" s="116"/>
      <c r="AQ19" s="117"/>
      <c r="AR19" s="115"/>
      <c r="AS19" s="115"/>
      <c r="AT19" s="113"/>
      <c r="AU19" s="113"/>
      <c r="AV19" s="113"/>
      <c r="AW19" s="114"/>
      <c r="AX19" s="8"/>
      <c r="AY19" s="8"/>
      <c r="AZ19" s="93"/>
      <c r="BA19" s="94"/>
      <c r="BB19" s="86"/>
      <c r="BC19" s="87"/>
      <c r="BD19" s="84"/>
      <c r="BE19" s="85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</row>
    <row r="20" spans="1:122" ht="32.25" customHeight="1" thickBot="1" x14ac:dyDescent="0.5">
      <c r="A20" s="301"/>
      <c r="B20" s="302"/>
      <c r="C20" s="303"/>
      <c r="D20" s="304"/>
      <c r="E20" s="65"/>
      <c r="F20" s="66"/>
      <c r="G20" s="66"/>
      <c r="H20" s="66"/>
      <c r="I20" s="67"/>
      <c r="J20" s="68"/>
      <c r="K20" s="305"/>
      <c r="L20" s="306"/>
      <c r="M20" s="307"/>
      <c r="N20" s="308"/>
      <c r="O20" s="65"/>
      <c r="P20" s="66"/>
      <c r="Q20" s="66"/>
      <c r="R20" s="66"/>
      <c r="S20" s="66"/>
      <c r="T20" s="66"/>
      <c r="U20" s="66"/>
      <c r="V20" s="68"/>
      <c r="W20" s="157">
        <f>SUM(AN20,AT20,AV20,BD20)</f>
        <v>0</v>
      </c>
      <c r="X20" s="158"/>
      <c r="Y20" s="305"/>
      <c r="Z20" s="306"/>
      <c r="AA20" s="309"/>
      <c r="AB20" s="308"/>
      <c r="AC20" s="65"/>
      <c r="AD20" s="66"/>
      <c r="AE20" s="66"/>
      <c r="AF20" s="66"/>
      <c r="AG20" s="66"/>
      <c r="AH20" s="69"/>
      <c r="AI20" s="70"/>
      <c r="AJ20" s="93"/>
      <c r="AK20" s="94"/>
      <c r="AL20" s="86"/>
      <c r="AM20" s="87"/>
      <c r="AN20" s="245"/>
      <c r="AO20" s="246"/>
      <c r="AP20" s="116"/>
      <c r="AQ20" s="117"/>
      <c r="AR20" s="115"/>
      <c r="AS20" s="115"/>
      <c r="AT20" s="113"/>
      <c r="AU20" s="113"/>
      <c r="AV20" s="113"/>
      <c r="AW20" s="114"/>
      <c r="AX20" s="8"/>
      <c r="AY20" s="8"/>
      <c r="AZ20" s="93"/>
      <c r="BA20" s="94"/>
      <c r="BB20" s="86"/>
      <c r="BC20" s="87"/>
      <c r="BD20" s="84"/>
      <c r="BE20" s="85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</row>
    <row r="21" spans="1:122" ht="32.25" customHeight="1" thickBot="1" x14ac:dyDescent="0.5">
      <c r="A21" s="310"/>
      <c r="B21" s="311"/>
      <c r="C21" s="312"/>
      <c r="D21" s="313"/>
      <c r="E21" s="62"/>
      <c r="F21" s="62"/>
      <c r="G21" s="62"/>
      <c r="H21" s="62"/>
      <c r="I21" s="62"/>
      <c r="J21" s="63"/>
      <c r="K21" s="314"/>
      <c r="L21" s="315"/>
      <c r="M21" s="316"/>
      <c r="N21" s="317"/>
      <c r="O21" s="62"/>
      <c r="P21" s="62"/>
      <c r="Q21" s="62"/>
      <c r="R21" s="62"/>
      <c r="S21" s="62"/>
      <c r="T21" s="62"/>
      <c r="U21" s="62"/>
      <c r="V21" s="63"/>
      <c r="W21" s="157">
        <f>SUM(E21:J21,O21:V21,AC21:AI21,AN21,AT21:AW21,BD21)</f>
        <v>0</v>
      </c>
      <c r="X21" s="158"/>
      <c r="Y21" s="314"/>
      <c r="Z21" s="315"/>
      <c r="AA21" s="318"/>
      <c r="AB21" s="317"/>
      <c r="AC21" s="62"/>
      <c r="AD21" s="62"/>
      <c r="AE21" s="62"/>
      <c r="AF21" s="62"/>
      <c r="AG21" s="62"/>
      <c r="AH21" s="64"/>
      <c r="AI21" s="63"/>
      <c r="AJ21" s="93"/>
      <c r="AK21" s="94"/>
      <c r="AL21" s="86"/>
      <c r="AM21" s="87"/>
      <c r="AN21" s="245"/>
      <c r="AO21" s="246"/>
      <c r="AP21" s="116"/>
      <c r="AQ21" s="117"/>
      <c r="AR21" s="115"/>
      <c r="AS21" s="115"/>
      <c r="AT21" s="113"/>
      <c r="AU21" s="113"/>
      <c r="AV21" s="113"/>
      <c r="AW21" s="114"/>
      <c r="AX21" s="8"/>
      <c r="AY21" s="8"/>
      <c r="AZ21" s="93"/>
      <c r="BA21" s="94"/>
      <c r="BB21" s="86"/>
      <c r="BC21" s="87"/>
      <c r="BD21" s="84"/>
      <c r="BE21" s="85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</row>
    <row r="22" spans="1:122" ht="32.25" customHeight="1" thickBot="1" x14ac:dyDescent="0.5">
      <c r="A22" s="301"/>
      <c r="B22" s="302"/>
      <c r="C22" s="303"/>
      <c r="D22" s="304"/>
      <c r="E22" s="65"/>
      <c r="F22" s="66"/>
      <c r="G22" s="66"/>
      <c r="H22" s="66"/>
      <c r="I22" s="67"/>
      <c r="J22" s="68"/>
      <c r="K22" s="305"/>
      <c r="L22" s="306"/>
      <c r="M22" s="307"/>
      <c r="N22" s="308"/>
      <c r="O22" s="65"/>
      <c r="P22" s="66"/>
      <c r="Q22" s="66"/>
      <c r="R22" s="66"/>
      <c r="S22" s="66"/>
      <c r="T22" s="66"/>
      <c r="U22" s="66"/>
      <c r="V22" s="68"/>
      <c r="W22" s="157">
        <f>SUM(AN22,AT22,AV22,BD22)</f>
        <v>0</v>
      </c>
      <c r="X22" s="158"/>
      <c r="Y22" s="305"/>
      <c r="Z22" s="306"/>
      <c r="AA22" s="309"/>
      <c r="AB22" s="308"/>
      <c r="AC22" s="65"/>
      <c r="AD22" s="66"/>
      <c r="AE22" s="66"/>
      <c r="AF22" s="66"/>
      <c r="AG22" s="66"/>
      <c r="AH22" s="69"/>
      <c r="AI22" s="70"/>
      <c r="AJ22" s="93"/>
      <c r="AK22" s="94"/>
      <c r="AL22" s="86"/>
      <c r="AM22" s="87"/>
      <c r="AN22" s="245"/>
      <c r="AO22" s="246"/>
      <c r="AP22" s="116"/>
      <c r="AQ22" s="117"/>
      <c r="AR22" s="115"/>
      <c r="AS22" s="115"/>
      <c r="AT22" s="113"/>
      <c r="AU22" s="113"/>
      <c r="AV22" s="113"/>
      <c r="AW22" s="114"/>
      <c r="AX22" s="8"/>
      <c r="AY22" s="8"/>
      <c r="AZ22" s="93"/>
      <c r="BA22" s="94"/>
      <c r="BB22" s="86"/>
      <c r="BC22" s="87"/>
      <c r="BD22" s="84"/>
      <c r="BE22" s="85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</row>
    <row r="23" spans="1:122" ht="32.25" customHeight="1" thickBot="1" x14ac:dyDescent="0.5">
      <c r="A23" s="310"/>
      <c r="B23" s="311"/>
      <c r="C23" s="312"/>
      <c r="D23" s="313"/>
      <c r="E23" s="62"/>
      <c r="F23" s="62"/>
      <c r="G23" s="62"/>
      <c r="H23" s="62"/>
      <c r="I23" s="62"/>
      <c r="J23" s="63"/>
      <c r="K23" s="314"/>
      <c r="L23" s="315"/>
      <c r="M23" s="316"/>
      <c r="N23" s="317"/>
      <c r="O23" s="62"/>
      <c r="P23" s="62"/>
      <c r="Q23" s="62"/>
      <c r="R23" s="62"/>
      <c r="S23" s="62"/>
      <c r="T23" s="62"/>
      <c r="U23" s="62"/>
      <c r="V23" s="63"/>
      <c r="W23" s="157">
        <f>SUM(E23:J23,O23:V23,AC23:AI23,AN23,AT23:AW23,BD23)</f>
        <v>0</v>
      </c>
      <c r="X23" s="158"/>
      <c r="Y23" s="314"/>
      <c r="Z23" s="315"/>
      <c r="AA23" s="318"/>
      <c r="AB23" s="317"/>
      <c r="AC23" s="62"/>
      <c r="AD23" s="62"/>
      <c r="AE23" s="62"/>
      <c r="AF23" s="62"/>
      <c r="AG23" s="62"/>
      <c r="AH23" s="64"/>
      <c r="AI23" s="63"/>
      <c r="AJ23" s="93"/>
      <c r="AK23" s="94"/>
      <c r="AL23" s="86"/>
      <c r="AM23" s="87"/>
      <c r="AN23" s="245"/>
      <c r="AO23" s="246"/>
      <c r="AP23" s="116"/>
      <c r="AQ23" s="117"/>
      <c r="AR23" s="115"/>
      <c r="AS23" s="115"/>
      <c r="AT23" s="113"/>
      <c r="AU23" s="113"/>
      <c r="AV23" s="113"/>
      <c r="AW23" s="114"/>
      <c r="AX23" s="8"/>
      <c r="AY23" s="8"/>
      <c r="AZ23" s="93"/>
      <c r="BA23" s="94"/>
      <c r="BB23" s="86"/>
      <c r="BC23" s="87"/>
      <c r="BD23" s="84"/>
      <c r="BE23" s="85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</row>
    <row r="24" spans="1:122" ht="32.25" customHeight="1" thickBot="1" x14ac:dyDescent="0.5">
      <c r="A24" s="301"/>
      <c r="B24" s="302"/>
      <c r="C24" s="303"/>
      <c r="D24" s="304"/>
      <c r="E24" s="65"/>
      <c r="F24" s="66"/>
      <c r="G24" s="66"/>
      <c r="H24" s="66"/>
      <c r="I24" s="67"/>
      <c r="J24" s="68"/>
      <c r="K24" s="305"/>
      <c r="L24" s="306"/>
      <c r="M24" s="307"/>
      <c r="N24" s="308"/>
      <c r="O24" s="65"/>
      <c r="P24" s="66"/>
      <c r="Q24" s="66"/>
      <c r="R24" s="66"/>
      <c r="S24" s="66"/>
      <c r="T24" s="66"/>
      <c r="U24" s="66"/>
      <c r="V24" s="68"/>
      <c r="W24" s="157">
        <f>SUM(AN24,AT24,AV24,BD24)</f>
        <v>0</v>
      </c>
      <c r="X24" s="158"/>
      <c r="Y24" s="305"/>
      <c r="Z24" s="306"/>
      <c r="AA24" s="309"/>
      <c r="AB24" s="308"/>
      <c r="AC24" s="65"/>
      <c r="AD24" s="66"/>
      <c r="AE24" s="66"/>
      <c r="AF24" s="66"/>
      <c r="AG24" s="66"/>
      <c r="AH24" s="69"/>
      <c r="AI24" s="70"/>
      <c r="AJ24" s="93"/>
      <c r="AK24" s="94"/>
      <c r="AL24" s="86"/>
      <c r="AM24" s="87"/>
      <c r="AN24" s="245"/>
      <c r="AO24" s="246"/>
      <c r="AP24" s="116"/>
      <c r="AQ24" s="117"/>
      <c r="AR24" s="115"/>
      <c r="AS24" s="115"/>
      <c r="AT24" s="113"/>
      <c r="AU24" s="113"/>
      <c r="AV24" s="113"/>
      <c r="AW24" s="114"/>
      <c r="AX24" s="8"/>
      <c r="AY24" s="8"/>
      <c r="AZ24" s="93"/>
      <c r="BA24" s="94"/>
      <c r="BB24" s="86"/>
      <c r="BC24" s="87"/>
      <c r="BD24" s="84"/>
      <c r="BE24" s="85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</row>
    <row r="25" spans="1:122" ht="32.25" customHeight="1" thickBot="1" x14ac:dyDescent="0.5">
      <c r="A25" s="327"/>
      <c r="B25" s="328"/>
      <c r="C25" s="329"/>
      <c r="D25" s="330"/>
      <c r="E25" s="26"/>
      <c r="F25" s="26"/>
      <c r="G25" s="26"/>
      <c r="H25" s="26"/>
      <c r="I25" s="26"/>
      <c r="J25" s="27"/>
      <c r="K25" s="331"/>
      <c r="L25" s="332"/>
      <c r="M25" s="333"/>
      <c r="N25" s="326"/>
      <c r="O25" s="26"/>
      <c r="P25" s="26"/>
      <c r="Q25" s="26"/>
      <c r="R25" s="26"/>
      <c r="S25" s="26"/>
      <c r="T25" s="26"/>
      <c r="U25" s="26"/>
      <c r="V25" s="27"/>
      <c r="W25" s="254">
        <f>SUM(E25:J25,O25:V25,AC25:AI25,AN25,AT25:AW25,BD25)</f>
        <v>0</v>
      </c>
      <c r="X25" s="255"/>
      <c r="Y25" s="331"/>
      <c r="Z25" s="332"/>
      <c r="AA25" s="325"/>
      <c r="AB25" s="326"/>
      <c r="AC25" s="26"/>
      <c r="AD25" s="26"/>
      <c r="AE25" s="26"/>
      <c r="AF25" s="26"/>
      <c r="AG25" s="26"/>
      <c r="AH25" s="38"/>
      <c r="AI25" s="27"/>
      <c r="AJ25" s="101"/>
      <c r="AK25" s="102"/>
      <c r="AL25" s="88"/>
      <c r="AM25" s="89"/>
      <c r="AN25" s="259"/>
      <c r="AO25" s="260"/>
      <c r="AP25" s="120"/>
      <c r="AQ25" s="121"/>
      <c r="AR25" s="92"/>
      <c r="AS25" s="92"/>
      <c r="AT25" s="95"/>
      <c r="AU25" s="95"/>
      <c r="AV25" s="95"/>
      <c r="AW25" s="96"/>
      <c r="AX25" s="8"/>
      <c r="AY25" s="8"/>
      <c r="AZ25" s="101"/>
      <c r="BA25" s="102"/>
      <c r="BB25" s="88"/>
      <c r="BC25" s="89"/>
      <c r="BD25" s="90"/>
      <c r="BE25" s="91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</row>
    <row r="26" spans="1:122" ht="39.950000000000003" customHeight="1" thickTop="1" thickBot="1" x14ac:dyDescent="0.3">
      <c r="A26" s="206">
        <f ca="1">TODAY()</f>
        <v>44600</v>
      </c>
      <c r="B26" s="206"/>
      <c r="C26" s="206"/>
      <c r="D26" s="206"/>
      <c r="E26" s="206"/>
      <c r="F26" s="334" t="s">
        <v>41</v>
      </c>
      <c r="G26" s="334"/>
      <c r="H26" s="334"/>
      <c r="I26" s="334"/>
      <c r="J26" s="334"/>
      <c r="K26" s="6"/>
      <c r="L26" s="7"/>
      <c r="M26" s="7"/>
      <c r="N26" s="7"/>
      <c r="O26" s="7"/>
      <c r="P26" s="7"/>
      <c r="Q26" s="7"/>
      <c r="R26" s="7"/>
      <c r="S26" s="7"/>
      <c r="T26" s="261" t="s">
        <v>8</v>
      </c>
      <c r="U26" s="261"/>
      <c r="V26" s="261"/>
      <c r="W26" s="262">
        <f>SUM(W3:X25)</f>
        <v>0</v>
      </c>
      <c r="X26" s="262"/>
      <c r="Y26" s="15"/>
      <c r="Z26" s="6"/>
      <c r="AA26" s="6"/>
      <c r="AB26" s="6"/>
      <c r="AC26" s="7"/>
      <c r="AD26" s="7"/>
      <c r="AE26" s="7"/>
      <c r="AF26" s="7"/>
      <c r="AG26" s="7"/>
      <c r="AH26" s="7"/>
      <c r="AI26" s="7"/>
      <c r="AJ26" s="7"/>
      <c r="AK26" s="7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</row>
    <row r="27" spans="1:122" ht="27.95" customHeight="1" thickBot="1" x14ac:dyDescent="0.3">
      <c r="A27" s="184" t="s">
        <v>9</v>
      </c>
      <c r="B27" s="185"/>
      <c r="C27" s="185"/>
      <c r="D27" s="185"/>
      <c r="E27" s="186"/>
      <c r="F27" s="10"/>
      <c r="G27" s="6"/>
      <c r="H27" s="6"/>
      <c r="I27" s="6"/>
      <c r="J27" s="6"/>
      <c r="K27" s="6"/>
      <c r="L27" s="7"/>
      <c r="M27" s="7"/>
      <c r="N27" s="7"/>
      <c r="O27" s="7"/>
      <c r="P27" s="7"/>
      <c r="Q27" s="7"/>
      <c r="R27" s="7"/>
      <c r="S27" s="7"/>
      <c r="T27" s="7"/>
      <c r="U27" s="6"/>
      <c r="V27" s="6"/>
      <c r="W27" s="6"/>
      <c r="X27" s="6"/>
      <c r="Y27" s="6"/>
      <c r="Z27" s="6"/>
      <c r="AA27" s="7"/>
      <c r="AB27" s="7"/>
      <c r="AC27" s="7"/>
      <c r="AD27" s="7"/>
      <c r="AE27" s="7"/>
      <c r="AF27" s="7"/>
      <c r="AG27" s="7"/>
      <c r="AH27" s="7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7"/>
      <c r="AT27" s="7"/>
      <c r="AU27" s="7"/>
      <c r="AV27" s="7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6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</row>
    <row r="28" spans="1:122" ht="32.25" customHeight="1" thickTop="1" thickBot="1" x14ac:dyDescent="0.3">
      <c r="A28" s="118" t="s">
        <v>24</v>
      </c>
      <c r="B28" s="251"/>
      <c r="C28" s="251"/>
      <c r="D28" s="251"/>
      <c r="E28" s="251"/>
      <c r="F28" s="251"/>
      <c r="G28" s="251"/>
      <c r="H28" s="119"/>
      <c r="I28" s="11"/>
      <c r="J28" s="118" t="s">
        <v>25</v>
      </c>
      <c r="K28" s="251"/>
      <c r="L28" s="251"/>
      <c r="M28" s="251"/>
      <c r="N28" s="251"/>
      <c r="O28" s="251"/>
      <c r="P28" s="251"/>
      <c r="Q28" s="251"/>
      <c r="R28" s="251"/>
      <c r="S28" s="119"/>
      <c r="T28" s="11"/>
      <c r="U28" s="118" t="s">
        <v>26</v>
      </c>
      <c r="V28" s="251"/>
      <c r="W28" s="251"/>
      <c r="X28" s="251"/>
      <c r="Y28" s="251"/>
      <c r="Z28" s="251"/>
      <c r="AA28" s="251"/>
      <c r="AB28" s="251"/>
      <c r="AC28" s="119"/>
      <c r="AD28" s="8"/>
      <c r="AE28" s="118" t="s">
        <v>32</v>
      </c>
      <c r="AF28" s="119"/>
      <c r="AG28" s="8"/>
      <c r="AH28" s="118" t="s">
        <v>30</v>
      </c>
      <c r="AI28" s="119"/>
      <c r="AJ28" s="11"/>
      <c r="AK28" s="118" t="s">
        <v>28</v>
      </c>
      <c r="AL28" s="251"/>
      <c r="AM28" s="251"/>
      <c r="AN28" s="251"/>
      <c r="AO28" s="251"/>
      <c r="AP28" s="251"/>
      <c r="AQ28" s="251"/>
      <c r="AR28" s="119"/>
      <c r="AS28" s="8"/>
      <c r="AT28" s="118" t="s">
        <v>31</v>
      </c>
      <c r="AU28" s="251"/>
      <c r="AV28" s="251"/>
      <c r="AW28" s="119"/>
      <c r="AX28" s="8"/>
      <c r="AY28" s="118" t="s">
        <v>29</v>
      </c>
      <c r="AZ28" s="119"/>
      <c r="BA28" s="8"/>
      <c r="BB28" s="118" t="s">
        <v>35</v>
      </c>
      <c r="BC28" s="119"/>
      <c r="BD28" s="8"/>
      <c r="BE28" s="118" t="s">
        <v>27</v>
      </c>
      <c r="BF28" s="119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</row>
    <row r="29" spans="1:122" ht="32.25" customHeight="1" thickTop="1" thickBot="1" x14ac:dyDescent="0.3">
      <c r="A29" s="12">
        <v>79</v>
      </c>
      <c r="B29" s="13">
        <v>80</v>
      </c>
      <c r="C29" s="13">
        <v>85</v>
      </c>
      <c r="D29" s="13" t="s">
        <v>2</v>
      </c>
      <c r="E29" s="13">
        <v>41</v>
      </c>
      <c r="F29" s="13">
        <v>42</v>
      </c>
      <c r="G29" s="207" t="s">
        <v>8</v>
      </c>
      <c r="H29" s="208"/>
      <c r="I29" s="14"/>
      <c r="J29" s="12">
        <v>81</v>
      </c>
      <c r="K29" s="13">
        <v>82</v>
      </c>
      <c r="L29" s="13">
        <v>83</v>
      </c>
      <c r="M29" s="13">
        <v>84</v>
      </c>
      <c r="N29" s="13">
        <v>87</v>
      </c>
      <c r="O29" s="13">
        <v>88</v>
      </c>
      <c r="P29" s="13">
        <v>89</v>
      </c>
      <c r="Q29" s="13">
        <v>90</v>
      </c>
      <c r="R29" s="207" t="s">
        <v>8</v>
      </c>
      <c r="S29" s="208"/>
      <c r="T29" s="14"/>
      <c r="U29" s="12">
        <v>50</v>
      </c>
      <c r="V29" s="13">
        <v>51</v>
      </c>
      <c r="W29" s="13">
        <v>52</v>
      </c>
      <c r="X29" s="13">
        <v>53</v>
      </c>
      <c r="Y29" s="13">
        <v>54</v>
      </c>
      <c r="Z29" s="13">
        <v>55</v>
      </c>
      <c r="AA29" s="13" t="s">
        <v>3</v>
      </c>
      <c r="AB29" s="134" t="s">
        <v>8</v>
      </c>
      <c r="AC29" s="135"/>
      <c r="AD29" s="8"/>
      <c r="AE29" s="136" t="s">
        <v>18</v>
      </c>
      <c r="AF29" s="137"/>
      <c r="AG29" s="8"/>
      <c r="AH29" s="136" t="s">
        <v>7</v>
      </c>
      <c r="AI29" s="137"/>
      <c r="AJ29" s="14"/>
      <c r="AK29" s="136" t="s">
        <v>20</v>
      </c>
      <c r="AL29" s="252"/>
      <c r="AM29" s="253" t="s">
        <v>21</v>
      </c>
      <c r="AN29" s="252"/>
      <c r="AO29" s="253" t="s">
        <v>5</v>
      </c>
      <c r="AP29" s="252"/>
      <c r="AQ29" s="138" t="s">
        <v>8</v>
      </c>
      <c r="AR29" s="139"/>
      <c r="AS29" s="8"/>
      <c r="AT29" s="288" t="s">
        <v>34</v>
      </c>
      <c r="AU29" s="289"/>
      <c r="AV29" s="289" t="s">
        <v>33</v>
      </c>
      <c r="AW29" s="290"/>
      <c r="AX29" s="8"/>
      <c r="AY29" s="136" t="s">
        <v>6</v>
      </c>
      <c r="AZ29" s="137"/>
      <c r="BA29" s="8"/>
      <c r="BB29" s="136" t="s">
        <v>36</v>
      </c>
      <c r="BC29" s="137"/>
      <c r="BD29" s="8"/>
      <c r="BE29" s="136" t="s">
        <v>4</v>
      </c>
      <c r="BF29" s="137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</row>
    <row r="30" spans="1:122" ht="32.25" customHeight="1" thickBot="1" x14ac:dyDescent="0.3">
      <c r="A30" s="4">
        <f t="shared" ref="A30:F30" si="0">SUM(E3:E25)</f>
        <v>0</v>
      </c>
      <c r="B30" s="34">
        <f t="shared" si="0"/>
        <v>0</v>
      </c>
      <c r="C30" s="34">
        <f t="shared" si="0"/>
        <v>0</v>
      </c>
      <c r="D30" s="34">
        <f t="shared" si="0"/>
        <v>0</v>
      </c>
      <c r="E30" s="34">
        <f t="shared" si="0"/>
        <v>0</v>
      </c>
      <c r="F30" s="34">
        <f t="shared" si="0"/>
        <v>0</v>
      </c>
      <c r="G30" s="209">
        <f>SUM(A30:F30)</f>
        <v>0</v>
      </c>
      <c r="H30" s="210"/>
      <c r="I30" s="9"/>
      <c r="J30" s="28">
        <f t="shared" ref="J30:L30" si="1">SUM(O3:O25)</f>
        <v>0</v>
      </c>
      <c r="K30" s="2">
        <f t="shared" si="1"/>
        <v>0</v>
      </c>
      <c r="L30" s="2">
        <f t="shared" si="1"/>
        <v>0</v>
      </c>
      <c r="M30" s="2">
        <f>SUM(R3:R25)</f>
        <v>0</v>
      </c>
      <c r="N30" s="2">
        <f>SUM(S3:S25)</f>
        <v>0</v>
      </c>
      <c r="O30" s="2">
        <f>SUM(T3:T25)</f>
        <v>0</v>
      </c>
      <c r="P30" s="2">
        <f>SUM(U3:U25)</f>
        <v>0</v>
      </c>
      <c r="Q30" s="2">
        <f>SUM(V3:V25)</f>
        <v>0</v>
      </c>
      <c r="R30" s="130">
        <f>SUM(J30:Q30)</f>
        <v>0</v>
      </c>
      <c r="S30" s="75"/>
      <c r="T30" s="9"/>
      <c r="U30" s="5">
        <f t="shared" ref="U30:Z30" si="2">SUM(AC3:AC25)</f>
        <v>0</v>
      </c>
      <c r="V30" s="3">
        <f t="shared" si="2"/>
        <v>0</v>
      </c>
      <c r="W30" s="3">
        <f t="shared" si="2"/>
        <v>0</v>
      </c>
      <c r="X30" s="3">
        <f t="shared" si="2"/>
        <v>0</v>
      </c>
      <c r="Y30" s="3">
        <f t="shared" si="2"/>
        <v>0</v>
      </c>
      <c r="Z30" s="3">
        <f t="shared" si="2"/>
        <v>0</v>
      </c>
      <c r="AA30" s="3">
        <f>SUM(AI3:AI25)</f>
        <v>0</v>
      </c>
      <c r="AB30" s="130">
        <f>SUM(U30:AA30)</f>
        <v>0</v>
      </c>
      <c r="AC30" s="75"/>
      <c r="AD30" s="6"/>
      <c r="AE30" s="74">
        <f>SUM(AN3:AO14)</f>
        <v>0</v>
      </c>
      <c r="AF30" s="75"/>
      <c r="AG30" s="8"/>
      <c r="AH30" s="74">
        <f>SUM(AN17:AO25)</f>
        <v>0</v>
      </c>
      <c r="AI30" s="75"/>
      <c r="AJ30" s="9"/>
      <c r="AK30" s="74">
        <f>SUM(AT3:AU14)</f>
        <v>0</v>
      </c>
      <c r="AL30" s="133"/>
      <c r="AM30" s="130">
        <f>SUM(AV3:AW14)</f>
        <v>0</v>
      </c>
      <c r="AN30" s="133"/>
      <c r="AO30" s="130">
        <f>SUM(AX3:AY14)</f>
        <v>0</v>
      </c>
      <c r="AP30" s="133"/>
      <c r="AQ30" s="130">
        <f>SUM(AK30:AP30)</f>
        <v>0</v>
      </c>
      <c r="AR30" s="75"/>
      <c r="AS30" s="8"/>
      <c r="AT30" s="71">
        <f>SUM(AT17:AU25)</f>
        <v>0</v>
      </c>
      <c r="AU30" s="72"/>
      <c r="AV30" s="72">
        <f>SUM(AV17:AW25)</f>
        <v>0</v>
      </c>
      <c r="AW30" s="73"/>
      <c r="AX30" s="8"/>
      <c r="AY30" s="74">
        <f>SUM(BD3:BE14)</f>
        <v>0</v>
      </c>
      <c r="AZ30" s="75"/>
      <c r="BA30" s="8"/>
      <c r="BB30" s="74">
        <f>SUM(BD17:BE25)</f>
        <v>0</v>
      </c>
      <c r="BC30" s="75"/>
      <c r="BD30" s="8"/>
      <c r="BE30" s="74">
        <f>SUM(BJ3:BK14)</f>
        <v>0</v>
      </c>
      <c r="BF30" s="75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</row>
    <row r="31" spans="1:122" ht="9.9499999999999993" customHeight="1" thickTop="1" thickBo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7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</row>
    <row r="32" spans="1:122" ht="32.25" customHeight="1" thickTop="1" thickBot="1" x14ac:dyDescent="0.3">
      <c r="A32" s="184" t="s">
        <v>15</v>
      </c>
      <c r="B32" s="185"/>
      <c r="C32" s="185"/>
      <c r="D32" s="185"/>
      <c r="E32" s="186"/>
      <c r="F32" s="14"/>
      <c r="G32" s="14"/>
      <c r="H32" s="14"/>
      <c r="I32" s="14"/>
      <c r="J32" s="76" t="s">
        <v>17</v>
      </c>
      <c r="K32" s="77"/>
      <c r="L32" s="77"/>
      <c r="M32" s="77"/>
      <c r="N32" s="77"/>
      <c r="O32" s="77"/>
      <c r="P32" s="77"/>
      <c r="Q32" s="78"/>
      <c r="R32" s="14"/>
      <c r="S32" s="14"/>
      <c r="T32" s="14"/>
      <c r="U32" s="14"/>
      <c r="V32" s="14"/>
      <c r="W32" s="14"/>
      <c r="X32" s="14"/>
      <c r="Y32" s="14"/>
      <c r="Z32" s="14"/>
      <c r="AA32" s="8"/>
      <c r="AB32" s="8"/>
      <c r="AC32" s="8"/>
      <c r="AD32" s="8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8"/>
      <c r="AT32" s="8"/>
      <c r="AU32" s="7"/>
      <c r="AV32" s="9"/>
      <c r="AW32" s="7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</row>
    <row r="33" spans="1:122" ht="32.25" customHeight="1" thickTop="1" thickBot="1" x14ac:dyDescent="0.3">
      <c r="A33" s="189" t="s">
        <v>12</v>
      </c>
      <c r="B33" s="190"/>
      <c r="C33" s="190"/>
      <c r="D33" s="190"/>
      <c r="E33" s="190"/>
      <c r="F33" s="191"/>
      <c r="G33" s="198">
        <f>'1st Shift'!W26</f>
        <v>0</v>
      </c>
      <c r="H33" s="199"/>
      <c r="I33" s="14"/>
      <c r="J33" s="204" t="s">
        <v>16</v>
      </c>
      <c r="K33" s="205"/>
      <c r="L33" s="104">
        <v>41</v>
      </c>
      <c r="M33" s="104"/>
      <c r="N33" s="104">
        <v>24</v>
      </c>
      <c r="O33" s="104"/>
      <c r="P33" s="104">
        <v>25</v>
      </c>
      <c r="Q33" s="104"/>
      <c r="R33" s="118" t="s">
        <v>22</v>
      </c>
      <c r="S33" s="119"/>
      <c r="T33" s="104">
        <v>55</v>
      </c>
      <c r="U33" s="104"/>
      <c r="V33" s="104">
        <v>81</v>
      </c>
      <c r="W33" s="104"/>
      <c r="X33" s="104">
        <v>71</v>
      </c>
      <c r="Y33" s="104"/>
      <c r="Z33" s="104">
        <v>82</v>
      </c>
      <c r="AA33" s="104"/>
      <c r="AB33" s="104">
        <v>16</v>
      </c>
      <c r="AC33" s="104"/>
      <c r="AD33" s="104">
        <v>23</v>
      </c>
      <c r="AE33" s="104"/>
      <c r="AF33" s="7"/>
      <c r="AG33" s="76" t="s">
        <v>19</v>
      </c>
      <c r="AH33" s="77"/>
      <c r="AI33" s="77"/>
      <c r="AJ33" s="77"/>
      <c r="AK33" s="78"/>
      <c r="AL33" s="8"/>
      <c r="AM33" s="8"/>
      <c r="AN33" s="8"/>
      <c r="AO33" s="6"/>
      <c r="AP33" s="6"/>
      <c r="AQ33" s="8"/>
      <c r="AR33" s="8"/>
      <c r="AS33" s="6"/>
      <c r="AT33" s="7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</row>
    <row r="34" spans="1:122" ht="32.25" customHeight="1" thickTop="1" thickBot="1" x14ac:dyDescent="0.3">
      <c r="A34" s="192" t="s">
        <v>10</v>
      </c>
      <c r="B34" s="193"/>
      <c r="C34" s="193"/>
      <c r="D34" s="193"/>
      <c r="E34" s="193"/>
      <c r="F34" s="194"/>
      <c r="G34" s="200">
        <v>0</v>
      </c>
      <c r="H34" s="201"/>
      <c r="I34" s="14"/>
      <c r="J34" s="176" t="s">
        <v>14</v>
      </c>
      <c r="K34" s="177"/>
      <c r="L34" s="105" t="str">
        <f>IFERROR(IF(COUNTIF(E3:J25,MAX(E3:J25))&gt;1,"Multi",INDEX(E2:J2,,SUMPRODUCT((E3:J25=MAX(E3:J25))*COLUMN(E3:J25))-COLUMN(E3:J25)+1)),"")</f>
        <v/>
      </c>
      <c r="M34" s="105"/>
      <c r="N34" s="105" t="str">
        <f>IFERROR(IF(COUNTIF(O3:V25,MAX(O3:V25))&gt;1,"Multi",INDEX(O2:V2,,SUMPRODUCT((O3:V25=MAX(O3:V25))*COLUMN(O3:V25))-COLUMN(O3:V25)+1)),"")</f>
        <v/>
      </c>
      <c r="O34" s="105"/>
      <c r="P34" s="105" t="str">
        <f>IFERROR(IF(COUNTIF(AC3:AI25,MAX(AC3:AI25))&gt;1,"Multi",INDEX(AC2:AI2,,SUMPRODUCT((AC3:AI25=MAX(AC3:AI25))*COLUMN(AC3:AI25))-COLUMN(AC3:AI25)+1)),"")</f>
        <v/>
      </c>
      <c r="Q34" s="105"/>
      <c r="R34" s="218" t="s">
        <v>18</v>
      </c>
      <c r="S34" s="219"/>
      <c r="T34" s="105" t="s">
        <v>7</v>
      </c>
      <c r="U34" s="105"/>
      <c r="V34" s="105" t="str">
        <f>IFERROR(IF(COUNTIF(AT3:AY14,MAX(AT3:AY14))&gt;1,"Multi",INDEX(AT2:AY2,,SUMPRODUCT((AT3:AY14=MAX(AT3:AY14))*COLUMN(AT3:AY14))-COLUMN(AT3:AY14)+1)),"")</f>
        <v/>
      </c>
      <c r="W34" s="105"/>
      <c r="X34" s="105" t="str">
        <f>IFERROR(IF(COUNTIF(AT17:AW25,MAX(AT17:AW25))&gt;1,"Multi",INDEX(AT16:AW16,,SUMPRODUCT((AT17:AW25=MAX(AT17:AW25))*COLUMN(AT17:AW25))-COLUMN(AT17:AW25)+1)),"")</f>
        <v/>
      </c>
      <c r="Y34" s="105"/>
      <c r="Z34" s="105" t="s">
        <v>6</v>
      </c>
      <c r="AA34" s="105"/>
      <c r="AB34" s="105" t="s">
        <v>36</v>
      </c>
      <c r="AC34" s="105"/>
      <c r="AD34" s="105" t="s">
        <v>4</v>
      </c>
      <c r="AE34" s="105"/>
      <c r="AF34" s="7"/>
      <c r="AG34" s="79">
        <f>SUM(FindRollers(E3:J25),FindRollers(O3:V25),FindRollers(AC3:AI25),FindRollers(BJ3:BK14),FindRollers(AT3:AY14),FindRollers(AN17:AO25),FindRollers(AT17:AW25),FindRollers(AN3:AO14),FindRollers(BD17:BE25),FindRollers(BD3:BE14))</f>
        <v>0</v>
      </c>
      <c r="AH34" s="80"/>
      <c r="AI34" s="80"/>
      <c r="AJ34" s="80"/>
      <c r="AK34" s="81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</row>
    <row r="35" spans="1:122" ht="32.25" customHeight="1" thickBot="1" x14ac:dyDescent="0.3">
      <c r="A35" s="195" t="s">
        <v>11</v>
      </c>
      <c r="B35" s="196"/>
      <c r="C35" s="196"/>
      <c r="D35" s="196"/>
      <c r="E35" s="196"/>
      <c r="F35" s="197"/>
      <c r="G35" s="202">
        <v>0</v>
      </c>
      <c r="H35" s="203"/>
      <c r="I35" s="14"/>
      <c r="J35" s="178" t="s">
        <v>37</v>
      </c>
      <c r="K35" s="179"/>
      <c r="L35" s="152" t="str">
        <f>IFERROR(IF(COUNTIF(E3:J25,MAX(E3:J25))&gt;1,"Multi",INDEX(C3:C25,SUMPRODUCT((E3:J25=MAX(E3:J25))*ROW(E3:J25))-ROW(E3:J25)+1)),"")</f>
        <v/>
      </c>
      <c r="M35" s="152"/>
      <c r="N35" s="152" t="str">
        <f>IFERROR(IF(COUNTIF(O3:V25,MAX(O3:V25))&gt;1,"Multi",INDEX(M3:M25,SUMPRODUCT((O3:V25=MAX(O3:V25))*ROW(O3:V25))-ROW(O3:V25)+1)),"")</f>
        <v/>
      </c>
      <c r="O35" s="152"/>
      <c r="P35" s="152" t="str">
        <f>IFERROR(IF(COUNTIF(AC3:AI25,MAX(AC3:AI25))&gt;1,"Multi",INDEX(AA3:AA25,SUMPRODUCT((AC3:AI25=MAX(AC3:AI25))*ROW(AC3:AI25))-ROW(AC3:AI25)+1)),"")</f>
        <v/>
      </c>
      <c r="Q35" s="152"/>
      <c r="R35" s="187" t="str">
        <f>IFERROR(IF(COUNTIF(AN3:AN14,MAX(AN3:AN14))&gt;1,"Multi",INDEX(AL3:AL14,SUMPRODUCT((AN3:AN14=MAX(AN3:AN14))*ROW(AN3:AN14))-ROW(AN3:AN14)+1)),"")</f>
        <v/>
      </c>
      <c r="S35" s="188"/>
      <c r="T35" s="103" t="str">
        <f>IFERROR(IF(COUNTIF(AN17:AN25,MAX(AN17:AN25))&gt;1,"Multi",INDEX(AL17:AL25,SUMPRODUCT((AN17:AN25=MAX(AN17:AN25))*ROW(AN17:AN25))-ROW(AN17:AN25)+1)),"")</f>
        <v/>
      </c>
      <c r="U35" s="103"/>
      <c r="V35" s="103" t="str">
        <f>IFERROR(IF(COUNTIF(AT3:AY14,MAX(AT3:AY14))&gt;1,"Multi",INDEX(AR3:AR14,SUMPRODUCT((AT3:AY14=MAX(AT3:AY14))*ROW(AT3:AY14))-ROW(AT3:AY14)+1)),"")</f>
        <v/>
      </c>
      <c r="W35" s="103"/>
      <c r="X35" s="103" t="str">
        <f>IFERROR(IF(COUNTIF(AT17:AW25,MAX(AT17:AW25))&gt;1,"Multi",INDEX(AR17:AR25,SUMPRODUCT((AT17:AW25=MAX(AT17:AW25))*ROW(AT17:AW25))-ROW(AT17:AW25)+1)),"")</f>
        <v/>
      </c>
      <c r="Y35" s="103"/>
      <c r="Z35" s="103" t="str">
        <f>IFERROR(IF(COUNTIF(BD3:BD14,MAX(BD3:BD14))&gt;1,"Multi",INDEX(BB3:BB14,SUMPRODUCT((BD3:BD14=MAX(BD3:BD14))*ROW(BD3:BD14))-ROW(BD3:BD14)+1)),"")</f>
        <v/>
      </c>
      <c r="AA35" s="103"/>
      <c r="AB35" s="103" t="str">
        <f>IFERROR(IF(COUNTIF(BD17:BD25,MAX(BD17:BD25))&gt;1,"Multi",INDEX(BB17:BB25,SUMPRODUCT((BD17:BD25=MAX(BD17:BD25))*ROW(BD17:BD25))-ROW(BD17:BD25)+1)),"")</f>
        <v/>
      </c>
      <c r="AC35" s="103"/>
      <c r="AD35" s="103" t="str">
        <f>IFERROR(IF(COUNTIF(BJ3:BJ14,MAX(BJ3:BJ14))&gt;1,"Multi",INDEX(BH3:BH14,SUMPRODUCT((BJ3:BJ14=MAX(BJ3:BJ14))*ROW(BJ3:BJ14))-ROW(BJ3:BJ14)+1)),"")</f>
        <v/>
      </c>
      <c r="AE35" s="103"/>
      <c r="AF35" s="7"/>
      <c r="AG35" s="7"/>
      <c r="AH35" s="7"/>
      <c r="AI35" s="6"/>
      <c r="AJ35" s="6"/>
      <c r="AK35" s="6"/>
      <c r="AL35" s="6"/>
      <c r="AM35" s="6"/>
      <c r="AN35" s="6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</row>
    <row r="36" spans="1:122" s="8" customFormat="1" ht="32.25" customHeight="1" thickTop="1" thickBot="1" x14ac:dyDescent="0.3">
      <c r="A36" s="40"/>
      <c r="B36" s="40"/>
      <c r="C36" s="40"/>
      <c r="D36" s="40"/>
      <c r="E36" s="40"/>
      <c r="F36" s="40"/>
      <c r="G36" s="39"/>
      <c r="H36" s="39"/>
      <c r="I36" s="14"/>
      <c r="J36" s="41"/>
      <c r="K36" s="41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7"/>
      <c r="AG36" s="7"/>
      <c r="AH36" s="7"/>
      <c r="AI36" s="6"/>
      <c r="AJ36" s="6"/>
      <c r="AK36" s="6"/>
      <c r="AL36" s="6"/>
      <c r="AM36" s="6"/>
      <c r="AN36" s="6"/>
    </row>
    <row r="37" spans="1:122" s="8" customFormat="1" ht="32.25" customHeight="1" thickBot="1" x14ac:dyDescent="0.3">
      <c r="A37" s="285" t="s">
        <v>38</v>
      </c>
      <c r="B37" s="286"/>
      <c r="C37" s="286"/>
      <c r="D37" s="286"/>
      <c r="E37" s="286"/>
      <c r="F37" s="286"/>
      <c r="G37" s="287"/>
      <c r="H37" s="43"/>
      <c r="I37" s="14"/>
      <c r="J37" s="41"/>
      <c r="K37" s="41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7"/>
      <c r="AG37" s="7"/>
      <c r="AH37" s="7"/>
      <c r="AI37" s="6"/>
      <c r="AJ37" s="6"/>
      <c r="AK37" s="6"/>
      <c r="AL37" s="6"/>
      <c r="AM37" s="6"/>
      <c r="AN37" s="6"/>
    </row>
    <row r="38" spans="1:122" s="8" customFormat="1" ht="39.950000000000003" customHeight="1" x14ac:dyDescent="0.25">
      <c r="A38" s="44"/>
      <c r="B38" s="40"/>
      <c r="C38" s="40"/>
      <c r="D38" s="40"/>
      <c r="E38" s="40"/>
      <c r="F38" s="40"/>
      <c r="G38" s="45"/>
      <c r="H38" s="39"/>
      <c r="I38" s="14"/>
      <c r="J38" s="41"/>
      <c r="K38" s="41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7"/>
      <c r="AG38" s="7"/>
      <c r="AH38" s="7"/>
      <c r="AI38" s="6"/>
      <c r="AJ38" s="6"/>
      <c r="AK38" s="6"/>
      <c r="AL38" s="6"/>
      <c r="AM38" s="6"/>
      <c r="AN38" s="6"/>
    </row>
    <row r="39" spans="1:122" ht="39.950000000000003" customHeight="1" x14ac:dyDescent="0.25">
      <c r="A39" s="10"/>
      <c r="B39" s="6"/>
      <c r="C39" s="6"/>
      <c r="D39" s="6"/>
      <c r="E39" s="6"/>
      <c r="F39" s="6"/>
      <c r="G39" s="46"/>
      <c r="H39" s="6"/>
      <c r="I39" s="6"/>
      <c r="J39" s="8"/>
      <c r="K39" s="8"/>
      <c r="L39" s="8"/>
      <c r="M39" s="8"/>
      <c r="N39" s="8"/>
      <c r="O39" s="7"/>
      <c r="P39" s="7"/>
      <c r="Q39" s="7"/>
      <c r="R39" s="7"/>
      <c r="S39" s="7"/>
      <c r="T39" s="7"/>
      <c r="U39" s="6"/>
      <c r="V39" s="6"/>
      <c r="W39" s="6"/>
      <c r="X39" s="6"/>
      <c r="Y39" s="6"/>
      <c r="Z39" s="6"/>
      <c r="AA39" s="7"/>
      <c r="AB39" s="7"/>
      <c r="AC39" s="7"/>
      <c r="AD39" s="7"/>
      <c r="AE39" s="7"/>
      <c r="AF39" s="7"/>
      <c r="AG39" s="7"/>
      <c r="AH39" s="7"/>
      <c r="AI39" s="7"/>
      <c r="AJ39" s="6"/>
      <c r="AK39" s="6"/>
      <c r="AL39" s="6"/>
      <c r="AM39" s="6"/>
      <c r="AN39" s="6"/>
      <c r="AO39" s="6"/>
      <c r="AP39" s="8"/>
      <c r="AQ39" s="8"/>
      <c r="AR39" s="6"/>
      <c r="AS39" s="6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</row>
    <row r="40" spans="1:122" ht="39.950000000000003" customHeight="1" thickBot="1" x14ac:dyDescent="0.3">
      <c r="A40" s="47"/>
      <c r="B40" s="48"/>
      <c r="C40" s="48"/>
      <c r="D40" s="48"/>
      <c r="E40" s="48"/>
      <c r="F40" s="48"/>
      <c r="G40" s="49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</row>
    <row r="41" spans="1:122" ht="39.950000000000003" customHeight="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</row>
    <row r="42" spans="1:122" ht="32.25" customHeight="1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</row>
    <row r="43" spans="1:122" ht="32.25" customHeight="1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</row>
    <row r="44" spans="1:122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</row>
    <row r="45" spans="1:122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</row>
    <row r="46" spans="1:122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</row>
    <row r="47" spans="1:122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</row>
    <row r="48" spans="1:122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</row>
    <row r="49" spans="1:122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</row>
    <row r="50" spans="1:122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</row>
    <row r="51" spans="1:122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</row>
    <row r="52" spans="1:122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</row>
    <row r="53" spans="1:122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</row>
    <row r="54" spans="1:122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</row>
    <row r="55" spans="1:122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</row>
    <row r="56" spans="1:122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</row>
    <row r="57" spans="1:122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</row>
    <row r="58" spans="1:122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</row>
    <row r="59" spans="1:122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</row>
    <row r="60" spans="1:122" x14ac:dyDescent="0.25">
      <c r="A60" s="57">
        <v>0</v>
      </c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</row>
    <row r="61" spans="1:122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</row>
    <row r="62" spans="1:122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</row>
    <row r="63" spans="1:122" x14ac:dyDescent="0.25">
      <c r="A63" s="22"/>
      <c r="B63" s="58"/>
      <c r="C63" s="58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</row>
    <row r="64" spans="1:122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</row>
    <row r="65" spans="1:122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</row>
  </sheetData>
  <sheetProtection selectLockedCells="1"/>
  <customSheetViews>
    <customSheetView guid="{8FC35363-868F-4EDE-AB9E-1079786AF750}" scale="50" showGridLines="0">
      <selection activeCell="A3" sqref="A3:B3"/>
      <pageMargins left="0.7" right="0.7" top="0.75" bottom="0.75" header="0.3" footer="0.3"/>
      <pageSetup orientation="portrait" verticalDpi="300" r:id="rId1"/>
    </customSheetView>
    <customSheetView guid="{A31020AA-FEEF-4C36-BC93-A6FB09B83AD8}" scale="50" showGridLines="0">
      <selection activeCell="A3" sqref="A3:B3"/>
      <pageMargins left="0.7" right="0.7" top="0.75" bottom="0.75" header="0.3" footer="0.3"/>
      <pageSetup orientation="portrait" verticalDpi="300" r:id="rId2"/>
    </customSheetView>
  </customSheetViews>
  <mergeCells count="568">
    <mergeCell ref="A37:G37"/>
    <mergeCell ref="P35:Q35"/>
    <mergeCell ref="R35:S35"/>
    <mergeCell ref="T35:U35"/>
    <mergeCell ref="V35:W35"/>
    <mergeCell ref="X35:Y35"/>
    <mergeCell ref="Z35:AA35"/>
    <mergeCell ref="X34:Y34"/>
    <mergeCell ref="Z34:AA34"/>
    <mergeCell ref="AB34:AC34"/>
    <mergeCell ref="AD34:AE34"/>
    <mergeCell ref="AG34:AK34"/>
    <mergeCell ref="A35:F35"/>
    <mergeCell ref="G35:H35"/>
    <mergeCell ref="J35:K35"/>
    <mergeCell ref="L35:M35"/>
    <mergeCell ref="N35:O35"/>
    <mergeCell ref="AB35:AC35"/>
    <mergeCell ref="AD35:AE35"/>
    <mergeCell ref="A34:F34"/>
    <mergeCell ref="G34:H34"/>
    <mergeCell ref="J34:K34"/>
    <mergeCell ref="L34:M34"/>
    <mergeCell ref="N34:O34"/>
    <mergeCell ref="P34:Q34"/>
    <mergeCell ref="R34:S34"/>
    <mergeCell ref="T34:U34"/>
    <mergeCell ref="V34:W34"/>
    <mergeCell ref="BE30:BF30"/>
    <mergeCell ref="A32:E32"/>
    <mergeCell ref="J32:Q32"/>
    <mergeCell ref="A33:F33"/>
    <mergeCell ref="G33:H33"/>
    <mergeCell ref="J33:K33"/>
    <mergeCell ref="L33:M33"/>
    <mergeCell ref="N33:O33"/>
    <mergeCell ref="P33:Q33"/>
    <mergeCell ref="R33:S33"/>
    <mergeCell ref="AO30:AP30"/>
    <mergeCell ref="AQ30:AR30"/>
    <mergeCell ref="AT30:AU30"/>
    <mergeCell ref="AV30:AW30"/>
    <mergeCell ref="AY30:AZ30"/>
    <mergeCell ref="BB30:BC30"/>
    <mergeCell ref="AG33:AK33"/>
    <mergeCell ref="T33:U33"/>
    <mergeCell ref="V33:W33"/>
    <mergeCell ref="X33:Y33"/>
    <mergeCell ref="Z33:AA33"/>
    <mergeCell ref="AB33:AC33"/>
    <mergeCell ref="AD33:AE33"/>
    <mergeCell ref="G30:H30"/>
    <mergeCell ref="R30:S30"/>
    <mergeCell ref="AB30:AC30"/>
    <mergeCell ref="AE30:AF30"/>
    <mergeCell ref="AH30:AI30"/>
    <mergeCell ref="AK30:AL30"/>
    <mergeCell ref="AM30:AN30"/>
    <mergeCell ref="AK29:AL29"/>
    <mergeCell ref="AM29:AN29"/>
    <mergeCell ref="BB28:BC28"/>
    <mergeCell ref="BE28:BF28"/>
    <mergeCell ref="G29:H29"/>
    <mergeCell ref="R29:S29"/>
    <mergeCell ref="AB29:AC29"/>
    <mergeCell ref="AE29:AF29"/>
    <mergeCell ref="AH29:AI29"/>
    <mergeCell ref="AY29:AZ29"/>
    <mergeCell ref="BB29:BC29"/>
    <mergeCell ref="BE29:BF29"/>
    <mergeCell ref="AO29:AP29"/>
    <mergeCell ref="AQ29:AR29"/>
    <mergeCell ref="AT29:AU29"/>
    <mergeCell ref="AV29:AW29"/>
    <mergeCell ref="A27:E27"/>
    <mergeCell ref="A28:H28"/>
    <mergeCell ref="J28:S28"/>
    <mergeCell ref="U28:AC28"/>
    <mergeCell ref="AE28:AF28"/>
    <mergeCell ref="AH28:AI28"/>
    <mergeCell ref="AT25:AU25"/>
    <mergeCell ref="AV25:AW25"/>
    <mergeCell ref="AZ25:BA25"/>
    <mergeCell ref="AK28:AR28"/>
    <mergeCell ref="AT28:AW28"/>
    <mergeCell ref="AY28:AZ28"/>
    <mergeCell ref="F26:J26"/>
    <mergeCell ref="BB25:BC25"/>
    <mergeCell ref="BD25:BE25"/>
    <mergeCell ref="A26:E26"/>
    <mergeCell ref="T26:V26"/>
    <mergeCell ref="W26:X26"/>
    <mergeCell ref="AA25:AB25"/>
    <mergeCell ref="AJ25:AK25"/>
    <mergeCell ref="AL25:AM25"/>
    <mergeCell ref="AN25:AO25"/>
    <mergeCell ref="AP25:AQ25"/>
    <mergeCell ref="AR25:AS25"/>
    <mergeCell ref="A25:B25"/>
    <mergeCell ref="C25:D25"/>
    <mergeCell ref="K25:L25"/>
    <mergeCell ref="M25:N25"/>
    <mergeCell ref="W25:X25"/>
    <mergeCell ref="Y25:Z25"/>
    <mergeCell ref="AV24:AW24"/>
    <mergeCell ref="AZ24:BA24"/>
    <mergeCell ref="BB24:BC24"/>
    <mergeCell ref="BD24:BE24"/>
    <mergeCell ref="Y24:Z24"/>
    <mergeCell ref="AA24:AB24"/>
    <mergeCell ref="AJ24:AK24"/>
    <mergeCell ref="AL24:AM24"/>
    <mergeCell ref="AN24:AO24"/>
    <mergeCell ref="AP24:AQ24"/>
    <mergeCell ref="AT23:AU23"/>
    <mergeCell ref="AV23:AW23"/>
    <mergeCell ref="AZ23:BA23"/>
    <mergeCell ref="BB23:BC23"/>
    <mergeCell ref="BD23:BE23"/>
    <mergeCell ref="A24:B24"/>
    <mergeCell ref="C24:D24"/>
    <mergeCell ref="K24:L24"/>
    <mergeCell ref="M24:N24"/>
    <mergeCell ref="W24:X24"/>
    <mergeCell ref="AA23:AB23"/>
    <mergeCell ref="AJ23:AK23"/>
    <mergeCell ref="AL23:AM23"/>
    <mergeCell ref="AN23:AO23"/>
    <mergeCell ref="AP23:AQ23"/>
    <mergeCell ref="AR23:AS23"/>
    <mergeCell ref="A23:B23"/>
    <mergeCell ref="C23:D23"/>
    <mergeCell ref="K23:L23"/>
    <mergeCell ref="M23:N23"/>
    <mergeCell ref="W23:X23"/>
    <mergeCell ref="Y23:Z23"/>
    <mergeCell ref="AR24:AS24"/>
    <mergeCell ref="AT24:AU24"/>
    <mergeCell ref="AV22:AW22"/>
    <mergeCell ref="AZ22:BA22"/>
    <mergeCell ref="BB22:BC22"/>
    <mergeCell ref="BD22:BE22"/>
    <mergeCell ref="Y22:Z22"/>
    <mergeCell ref="AA22:AB22"/>
    <mergeCell ref="AJ22:AK22"/>
    <mergeCell ref="AL22:AM22"/>
    <mergeCell ref="AN22:AO22"/>
    <mergeCell ref="AP22:AQ22"/>
    <mergeCell ref="AT21:AU21"/>
    <mergeCell ref="AV21:AW21"/>
    <mergeCell ref="AZ21:BA21"/>
    <mergeCell ref="BB21:BC21"/>
    <mergeCell ref="BD21:BE21"/>
    <mergeCell ref="A22:B22"/>
    <mergeCell ref="C22:D22"/>
    <mergeCell ref="K22:L22"/>
    <mergeCell ref="M22:N22"/>
    <mergeCell ref="W22:X22"/>
    <mergeCell ref="AA21:AB21"/>
    <mergeCell ref="AJ21:AK21"/>
    <mergeCell ref="AL21:AM21"/>
    <mergeCell ref="AN21:AO21"/>
    <mergeCell ref="AP21:AQ21"/>
    <mergeCell ref="AR21:AS21"/>
    <mergeCell ref="A21:B21"/>
    <mergeCell ref="C21:D21"/>
    <mergeCell ref="K21:L21"/>
    <mergeCell ref="M21:N21"/>
    <mergeCell ref="W21:X21"/>
    <mergeCell ref="Y21:Z21"/>
    <mergeCell ref="AR22:AS22"/>
    <mergeCell ref="AT22:AU22"/>
    <mergeCell ref="AR20:AS20"/>
    <mergeCell ref="AT20:AU20"/>
    <mergeCell ref="AV20:AW20"/>
    <mergeCell ref="AZ20:BA20"/>
    <mergeCell ref="BB20:BC20"/>
    <mergeCell ref="BD20:BE20"/>
    <mergeCell ref="Y20:Z20"/>
    <mergeCell ref="AA20:AB20"/>
    <mergeCell ref="AJ20:AK20"/>
    <mergeCell ref="AL20:AM20"/>
    <mergeCell ref="AN20:AO20"/>
    <mergeCell ref="AP20:AQ20"/>
    <mergeCell ref="A20:B20"/>
    <mergeCell ref="C20:D20"/>
    <mergeCell ref="K20:L20"/>
    <mergeCell ref="M20:N20"/>
    <mergeCell ref="W20:X20"/>
    <mergeCell ref="AA19:AB19"/>
    <mergeCell ref="AJ19:AK19"/>
    <mergeCell ref="AL19:AM19"/>
    <mergeCell ref="AN19:AO19"/>
    <mergeCell ref="A19:B19"/>
    <mergeCell ref="C19:D19"/>
    <mergeCell ref="K19:L19"/>
    <mergeCell ref="M19:N19"/>
    <mergeCell ref="W19:X19"/>
    <mergeCell ref="Y19:Z19"/>
    <mergeCell ref="AJ18:AK18"/>
    <mergeCell ref="AL18:AM18"/>
    <mergeCell ref="AN18:AO18"/>
    <mergeCell ref="AP18:AQ18"/>
    <mergeCell ref="AT19:AU19"/>
    <mergeCell ref="AV19:AW19"/>
    <mergeCell ref="AZ19:BA19"/>
    <mergeCell ref="BB19:BC19"/>
    <mergeCell ref="BD19:BE19"/>
    <mergeCell ref="AP19:AQ19"/>
    <mergeCell ref="AR19:AS19"/>
    <mergeCell ref="AT17:AU17"/>
    <mergeCell ref="AV17:AW17"/>
    <mergeCell ref="AZ17:BA17"/>
    <mergeCell ref="BB17:BC17"/>
    <mergeCell ref="BD17:BE17"/>
    <mergeCell ref="A18:B18"/>
    <mergeCell ref="C18:D18"/>
    <mergeCell ref="K18:L18"/>
    <mergeCell ref="M18:N18"/>
    <mergeCell ref="W18:X18"/>
    <mergeCell ref="AA17:AB17"/>
    <mergeCell ref="AJ17:AK17"/>
    <mergeCell ref="AL17:AM17"/>
    <mergeCell ref="AN17:AO17"/>
    <mergeCell ref="AP17:AQ17"/>
    <mergeCell ref="AR17:AS17"/>
    <mergeCell ref="AR18:AS18"/>
    <mergeCell ref="AT18:AU18"/>
    <mergeCell ref="AV18:AW18"/>
    <mergeCell ref="AZ18:BA18"/>
    <mergeCell ref="BB18:BC18"/>
    <mergeCell ref="BD18:BE18"/>
    <mergeCell ref="Y18:Z18"/>
    <mergeCell ref="AA18:AB18"/>
    <mergeCell ref="A17:B17"/>
    <mergeCell ref="C17:D17"/>
    <mergeCell ref="K17:L17"/>
    <mergeCell ref="M17:N17"/>
    <mergeCell ref="W17:X17"/>
    <mergeCell ref="Y17:Z17"/>
    <mergeCell ref="AJ16:AK16"/>
    <mergeCell ref="AL16:AM16"/>
    <mergeCell ref="AN16:AO16"/>
    <mergeCell ref="BD15:BE15"/>
    <mergeCell ref="A16:B16"/>
    <mergeCell ref="C16:D16"/>
    <mergeCell ref="K16:L16"/>
    <mergeCell ref="M16:N16"/>
    <mergeCell ref="W16:X16"/>
    <mergeCell ref="Y16:Z16"/>
    <mergeCell ref="AA16:AB16"/>
    <mergeCell ref="AJ15:AK15"/>
    <mergeCell ref="AL15:AM15"/>
    <mergeCell ref="AN15:AO15"/>
    <mergeCell ref="AP15:AQ15"/>
    <mergeCell ref="AR15:AS15"/>
    <mergeCell ref="AT15:AW15"/>
    <mergeCell ref="AV16:AW16"/>
    <mergeCell ref="AZ16:BA16"/>
    <mergeCell ref="BB16:BC16"/>
    <mergeCell ref="BD16:BE16"/>
    <mergeCell ref="AP16:AQ16"/>
    <mergeCell ref="AR16:AS16"/>
    <mergeCell ref="AT16:AU16"/>
    <mergeCell ref="BJ14:BK14"/>
    <mergeCell ref="A15:B15"/>
    <mergeCell ref="C15:D15"/>
    <mergeCell ref="K15:L15"/>
    <mergeCell ref="M15:N15"/>
    <mergeCell ref="W15:X15"/>
    <mergeCell ref="Y15:Z15"/>
    <mergeCell ref="AA15:AB15"/>
    <mergeCell ref="AT14:AU14"/>
    <mergeCell ref="AV14:AW14"/>
    <mergeCell ref="AX14:AY14"/>
    <mergeCell ref="AZ14:BA14"/>
    <mergeCell ref="BB14:BC14"/>
    <mergeCell ref="BD14:BE14"/>
    <mergeCell ref="AA14:AB14"/>
    <mergeCell ref="AJ14:AK14"/>
    <mergeCell ref="AL14:AM14"/>
    <mergeCell ref="AN14:AO14"/>
    <mergeCell ref="AP14:AQ14"/>
    <mergeCell ref="AR14:AS14"/>
    <mergeCell ref="A14:B14"/>
    <mergeCell ref="C14:D14"/>
    <mergeCell ref="AZ15:BA15"/>
    <mergeCell ref="BB15:BC15"/>
    <mergeCell ref="K14:L14"/>
    <mergeCell ref="M14:N14"/>
    <mergeCell ref="W14:X14"/>
    <mergeCell ref="Y14:Z14"/>
    <mergeCell ref="AZ13:BA13"/>
    <mergeCell ref="BB13:BC13"/>
    <mergeCell ref="BD13:BE13"/>
    <mergeCell ref="BF13:BG13"/>
    <mergeCell ref="BH13:BI13"/>
    <mergeCell ref="BF14:BG14"/>
    <mergeCell ref="BH14:BI14"/>
    <mergeCell ref="BJ13:BK13"/>
    <mergeCell ref="AN13:AO13"/>
    <mergeCell ref="AP13:AQ13"/>
    <mergeCell ref="AR13:AS13"/>
    <mergeCell ref="AT13:AU13"/>
    <mergeCell ref="AV13:AW13"/>
    <mergeCell ref="AX13:AY13"/>
    <mergeCell ref="BJ12:BK12"/>
    <mergeCell ref="A13:B13"/>
    <mergeCell ref="C13:D13"/>
    <mergeCell ref="K13:L13"/>
    <mergeCell ref="M13:N13"/>
    <mergeCell ref="W13:X13"/>
    <mergeCell ref="Y13:Z13"/>
    <mergeCell ref="AA13:AB13"/>
    <mergeCell ref="AJ13:AK13"/>
    <mergeCell ref="AL13:AM13"/>
    <mergeCell ref="AX12:AY12"/>
    <mergeCell ref="AZ12:BA12"/>
    <mergeCell ref="BB12:BC12"/>
    <mergeCell ref="BD12:BE12"/>
    <mergeCell ref="BF12:BG12"/>
    <mergeCell ref="BH12:BI12"/>
    <mergeCell ref="AL12:AM12"/>
    <mergeCell ref="BH11:BI11"/>
    <mergeCell ref="BJ11:BK11"/>
    <mergeCell ref="A12:B12"/>
    <mergeCell ref="C12:D12"/>
    <mergeCell ref="K12:L12"/>
    <mergeCell ref="M12:N12"/>
    <mergeCell ref="W12:X12"/>
    <mergeCell ref="Y12:Z12"/>
    <mergeCell ref="AA12:AB12"/>
    <mergeCell ref="AJ12:AK12"/>
    <mergeCell ref="AV11:AW11"/>
    <mergeCell ref="AX11:AY11"/>
    <mergeCell ref="AZ11:BA11"/>
    <mergeCell ref="BB11:BC11"/>
    <mergeCell ref="BD11:BE11"/>
    <mergeCell ref="BF11:BG11"/>
    <mergeCell ref="AJ11:AK11"/>
    <mergeCell ref="AL11:AM11"/>
    <mergeCell ref="AN11:AO11"/>
    <mergeCell ref="AJ10:AK10"/>
    <mergeCell ref="AL10:AM10"/>
    <mergeCell ref="AN10:AO10"/>
    <mergeCell ref="AP10:AQ10"/>
    <mergeCell ref="AN12:AO12"/>
    <mergeCell ref="AP12:AQ12"/>
    <mergeCell ref="AR12:AS12"/>
    <mergeCell ref="AT12:AU12"/>
    <mergeCell ref="AV12:AW12"/>
    <mergeCell ref="A10:B10"/>
    <mergeCell ref="C10:D10"/>
    <mergeCell ref="K10:L10"/>
    <mergeCell ref="M10:N10"/>
    <mergeCell ref="W10:X10"/>
    <mergeCell ref="Y10:Z10"/>
    <mergeCell ref="AZ9:BA9"/>
    <mergeCell ref="BB9:BC9"/>
    <mergeCell ref="AP11:AQ11"/>
    <mergeCell ref="AR11:AS11"/>
    <mergeCell ref="AT11:AU11"/>
    <mergeCell ref="A11:B11"/>
    <mergeCell ref="C11:D11"/>
    <mergeCell ref="K11:L11"/>
    <mergeCell ref="M11:N11"/>
    <mergeCell ref="W11:X11"/>
    <mergeCell ref="Y11:Z11"/>
    <mergeCell ref="AA11:AB11"/>
    <mergeCell ref="AT10:AU10"/>
    <mergeCell ref="AV10:AW10"/>
    <mergeCell ref="AX10:AY10"/>
    <mergeCell ref="AZ10:BA10"/>
    <mergeCell ref="BB10:BC10"/>
    <mergeCell ref="AA10:AB10"/>
    <mergeCell ref="BH9:BI9"/>
    <mergeCell ref="BJ9:BK9"/>
    <mergeCell ref="AN9:AO9"/>
    <mergeCell ref="AP9:AQ9"/>
    <mergeCell ref="AR9:AS9"/>
    <mergeCell ref="AT9:AU9"/>
    <mergeCell ref="AV9:AW9"/>
    <mergeCell ref="AX9:AY9"/>
    <mergeCell ref="AR10:AS10"/>
    <mergeCell ref="BF10:BG10"/>
    <mergeCell ref="BH10:BI10"/>
    <mergeCell ref="BJ10:BK10"/>
    <mergeCell ref="BD10:BE10"/>
    <mergeCell ref="BJ8:BK8"/>
    <mergeCell ref="A9:B9"/>
    <mergeCell ref="C9:D9"/>
    <mergeCell ref="K9:L9"/>
    <mergeCell ref="M9:N9"/>
    <mergeCell ref="W9:X9"/>
    <mergeCell ref="Y9:Z9"/>
    <mergeCell ref="AA9:AB9"/>
    <mergeCell ref="AJ9:AK9"/>
    <mergeCell ref="AL9:AM9"/>
    <mergeCell ref="AX8:AY8"/>
    <mergeCell ref="AZ8:BA8"/>
    <mergeCell ref="BB8:BC8"/>
    <mergeCell ref="BD8:BE8"/>
    <mergeCell ref="BF8:BG8"/>
    <mergeCell ref="BH8:BI8"/>
    <mergeCell ref="AL8:AM8"/>
    <mergeCell ref="AN8:AO8"/>
    <mergeCell ref="AP8:AQ8"/>
    <mergeCell ref="AR8:AS8"/>
    <mergeCell ref="AT8:AU8"/>
    <mergeCell ref="AV8:AW8"/>
    <mergeCell ref="BD9:BE9"/>
    <mergeCell ref="BF9:BG9"/>
    <mergeCell ref="AX7:AY7"/>
    <mergeCell ref="AZ7:BA7"/>
    <mergeCell ref="BB7:BC7"/>
    <mergeCell ref="BD7:BE7"/>
    <mergeCell ref="BF7:BG7"/>
    <mergeCell ref="AJ7:AK7"/>
    <mergeCell ref="AL7:AM7"/>
    <mergeCell ref="AN7:AO7"/>
    <mergeCell ref="AP7:AQ7"/>
    <mergeCell ref="AR7:AS7"/>
    <mergeCell ref="AT7:AU7"/>
    <mergeCell ref="A8:B8"/>
    <mergeCell ref="C8:D8"/>
    <mergeCell ref="K8:L8"/>
    <mergeCell ref="M8:N8"/>
    <mergeCell ref="W8:X8"/>
    <mergeCell ref="Y8:Z8"/>
    <mergeCell ref="AA8:AB8"/>
    <mergeCell ref="AJ8:AK8"/>
    <mergeCell ref="AV7:AW7"/>
    <mergeCell ref="BJ6:BK6"/>
    <mergeCell ref="A7:B7"/>
    <mergeCell ref="C7:D7"/>
    <mergeCell ref="K7:L7"/>
    <mergeCell ref="M7:N7"/>
    <mergeCell ref="W7:X7"/>
    <mergeCell ref="Y7:Z7"/>
    <mergeCell ref="AA7:AB7"/>
    <mergeCell ref="AT6:AU6"/>
    <mergeCell ref="AV6:AW6"/>
    <mergeCell ref="AX6:AY6"/>
    <mergeCell ref="AZ6:BA6"/>
    <mergeCell ref="BB6:BC6"/>
    <mergeCell ref="BD6:BE6"/>
    <mergeCell ref="AA6:AB6"/>
    <mergeCell ref="AJ6:AK6"/>
    <mergeCell ref="AL6:AM6"/>
    <mergeCell ref="AN6:AO6"/>
    <mergeCell ref="AP6:AQ6"/>
    <mergeCell ref="AR6:AS6"/>
    <mergeCell ref="A6:B6"/>
    <mergeCell ref="C6:D6"/>
    <mergeCell ref="BH7:BI7"/>
    <mergeCell ref="BJ7:BK7"/>
    <mergeCell ref="K6:L6"/>
    <mergeCell ref="M6:N6"/>
    <mergeCell ref="W6:X6"/>
    <mergeCell ref="Y6:Z6"/>
    <mergeCell ref="AZ5:BA5"/>
    <mergeCell ref="BB5:BC5"/>
    <mergeCell ref="BD5:BE5"/>
    <mergeCell ref="BF5:BG5"/>
    <mergeCell ref="BH5:BI5"/>
    <mergeCell ref="BF6:BG6"/>
    <mergeCell ref="BH6:BI6"/>
    <mergeCell ref="BJ5:BK5"/>
    <mergeCell ref="AN5:AO5"/>
    <mergeCell ref="AP5:AQ5"/>
    <mergeCell ref="AR5:AS5"/>
    <mergeCell ref="AT5:AU5"/>
    <mergeCell ref="AV5:AW5"/>
    <mergeCell ref="AX5:AY5"/>
    <mergeCell ref="BJ4:BK4"/>
    <mergeCell ref="A5:B5"/>
    <mergeCell ref="C5:D5"/>
    <mergeCell ref="K5:L5"/>
    <mergeCell ref="M5:N5"/>
    <mergeCell ref="W5:X5"/>
    <mergeCell ref="Y5:Z5"/>
    <mergeCell ref="AA5:AB5"/>
    <mergeCell ref="AJ5:AK5"/>
    <mergeCell ref="AL5:AM5"/>
    <mergeCell ref="AX4:AY4"/>
    <mergeCell ref="AZ4:BA4"/>
    <mergeCell ref="BB4:BC4"/>
    <mergeCell ref="BD4:BE4"/>
    <mergeCell ref="BF4:BG4"/>
    <mergeCell ref="BH4:BI4"/>
    <mergeCell ref="AL4:AM4"/>
    <mergeCell ref="AN4:AO4"/>
    <mergeCell ref="AP4:AQ4"/>
    <mergeCell ref="AR4:AS4"/>
    <mergeCell ref="AT4:AU4"/>
    <mergeCell ref="AV4:AW4"/>
    <mergeCell ref="BH3:BI3"/>
    <mergeCell ref="BJ3:BK3"/>
    <mergeCell ref="A4:B4"/>
    <mergeCell ref="C4:D4"/>
    <mergeCell ref="K4:L4"/>
    <mergeCell ref="M4:N4"/>
    <mergeCell ref="W4:X4"/>
    <mergeCell ref="Y4:Z4"/>
    <mergeCell ref="AA4:AB4"/>
    <mergeCell ref="AJ4:AK4"/>
    <mergeCell ref="AV3:AW3"/>
    <mergeCell ref="AX3:AY3"/>
    <mergeCell ref="AZ3:BA3"/>
    <mergeCell ref="BB3:BC3"/>
    <mergeCell ref="BD3:BE3"/>
    <mergeCell ref="BF3:BG3"/>
    <mergeCell ref="AJ3:AK3"/>
    <mergeCell ref="AL3:AM3"/>
    <mergeCell ref="AN3:AO3"/>
    <mergeCell ref="BH2:BI2"/>
    <mergeCell ref="BJ2:BK2"/>
    <mergeCell ref="A3:B3"/>
    <mergeCell ref="C3:D3"/>
    <mergeCell ref="K3:L3"/>
    <mergeCell ref="M3:N3"/>
    <mergeCell ref="W3:X3"/>
    <mergeCell ref="Y3:Z3"/>
    <mergeCell ref="AA3:AB3"/>
    <mergeCell ref="AT2:AU2"/>
    <mergeCell ref="AV2:AW2"/>
    <mergeCell ref="AX2:AY2"/>
    <mergeCell ref="AZ2:BA2"/>
    <mergeCell ref="BB2:BC2"/>
    <mergeCell ref="BD2:BE2"/>
    <mergeCell ref="AA2:AB2"/>
    <mergeCell ref="AJ2:AK2"/>
    <mergeCell ref="AL2:AM2"/>
    <mergeCell ref="AN2:AO2"/>
    <mergeCell ref="AP2:AQ2"/>
    <mergeCell ref="M1:N1"/>
    <mergeCell ref="AP3:AQ3"/>
    <mergeCell ref="AR3:AS3"/>
    <mergeCell ref="AT3:AU3"/>
    <mergeCell ref="BF2:BG2"/>
    <mergeCell ref="O1:V1"/>
    <mergeCell ref="AR2:AS2"/>
    <mergeCell ref="BD1:BE1"/>
    <mergeCell ref="BF1:BG1"/>
    <mergeCell ref="BH1:BI1"/>
    <mergeCell ref="BJ1:BK1"/>
    <mergeCell ref="A2:B2"/>
    <mergeCell ref="C2:D2"/>
    <mergeCell ref="K2:L2"/>
    <mergeCell ref="M2:N2"/>
    <mergeCell ref="W2:X2"/>
    <mergeCell ref="Y2:Z2"/>
    <mergeCell ref="AN1:AO1"/>
    <mergeCell ref="AP1:AQ1"/>
    <mergeCell ref="AR1:AS1"/>
    <mergeCell ref="AT1:AY1"/>
    <mergeCell ref="AZ1:BA1"/>
    <mergeCell ref="BB1:BC1"/>
    <mergeCell ref="W1:X1"/>
    <mergeCell ref="Y1:Z1"/>
    <mergeCell ref="AA1:AB1"/>
    <mergeCell ref="AC1:AI1"/>
    <mergeCell ref="AJ1:AK1"/>
    <mergeCell ref="AL1:AM1"/>
    <mergeCell ref="A1:B1"/>
    <mergeCell ref="C1:D1"/>
    <mergeCell ref="E1:J1"/>
    <mergeCell ref="K1:L1"/>
  </mergeCells>
  <conditionalFormatting sqref="AG34 U30:AB30">
    <cfRule type="cellIs" dxfId="60" priority="61" stopIfTrue="1" operator="greaterThan">
      <formula>0</formula>
    </cfRule>
  </conditionalFormatting>
  <conditionalFormatting sqref="AG34 U30:AB30">
    <cfRule type="cellIs" dxfId="59" priority="60" stopIfTrue="1" operator="equal">
      <formula>0</formula>
    </cfRule>
  </conditionalFormatting>
  <conditionalFormatting sqref="O3:V3 O5:V5 O7:V7 O9:V9 O11:V11 O13:V13 O15:V15 O17:V17 O19:V19 O21:V21 O23:V23 O25:V25 E3:J3 E5:J5 E7:J7 E9:J9 E11:J11 E13:J13 E15:J15 E17:J17 E19:J19 E21:J21 E23:J23 E25:J25 AT3:AT14 AV3:AV14 AN17:AN25 BJ3:BJ14">
    <cfRule type="cellIs" dxfId="58" priority="55" stopIfTrue="1" operator="equal">
      <formula>"X"</formula>
    </cfRule>
  </conditionalFormatting>
  <conditionalFormatting sqref="AY30 AH30 O3:V3 O5:V5 O7:V7 O9:V9 O11:V11 O13:V13 O15:V15 O17:V17 O19:V19 O21:V21 O23:V23 O25:V25 J30:S30 AK30 AQ30 W3:X15 E3:J3 E5:J5 E7:J7 E9:J9 E11:J11 E13:J13 E15:J15 E17:J17 E19:J19 E21:J21 E23:J23 E25:J25 G30:H30 A30:E30 AM30 AT3:AT14 AV3:AV14 AN17:AN25 BJ3:BJ14 W17:X26">
    <cfRule type="cellIs" dxfId="57" priority="59" stopIfTrue="1" operator="greaterThan">
      <formula>0</formula>
    </cfRule>
  </conditionalFormatting>
  <conditionalFormatting sqref="AY30 AK30 AM30 AQ30 AH30 J30:S30 W3:X15 G30:H30 A30:E30 W17:X26">
    <cfRule type="cellIs" dxfId="56" priority="57" stopIfTrue="1" operator="equal">
      <formula>0</formula>
    </cfRule>
  </conditionalFormatting>
  <conditionalFormatting sqref="O3:V25 E3:J25 AT3:AT14 AV3:AV14 AN17:AN25 BJ3:BJ14">
    <cfRule type="cellIs" dxfId="55" priority="56" stopIfTrue="1" operator="equal">
      <formula>"PO"</formula>
    </cfRule>
    <cfRule type="cellIs" dxfId="54" priority="58" stopIfTrue="1" operator="equal">
      <formula>"ip"</formula>
    </cfRule>
  </conditionalFormatting>
  <conditionalFormatting sqref="AV17:AW25">
    <cfRule type="cellIs" dxfId="53" priority="51" stopIfTrue="1" operator="equal">
      <formula>"X"</formula>
    </cfRule>
  </conditionalFormatting>
  <conditionalFormatting sqref="AV17:AW25">
    <cfRule type="cellIs" dxfId="52" priority="54" stopIfTrue="1" operator="greaterThan">
      <formula>0</formula>
    </cfRule>
  </conditionalFormatting>
  <conditionalFormatting sqref="AV17:AW25">
    <cfRule type="cellIs" dxfId="51" priority="52" stopIfTrue="1" operator="equal">
      <formula>"PO"</formula>
    </cfRule>
    <cfRule type="cellIs" dxfId="50" priority="53" stopIfTrue="1" operator="equal">
      <formula>"ip"</formula>
    </cfRule>
  </conditionalFormatting>
  <conditionalFormatting sqref="AI3 AI5 AI7 AI9 AI11 AI13 AI15 AI17 AI19 AI21 AI23 AI25">
    <cfRule type="cellIs" dxfId="49" priority="43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48" priority="47" stopIfTrue="1" operator="equal">
      <formula>"X"</formula>
    </cfRule>
  </conditionalFormatting>
  <conditionalFormatting sqref="AC3:AH3 AC5:AH5 AC7:AH7 AC9:AH9 AC11:AH11 AC13:AH13 AC15:AH15 AC17:AH17 AC19:AH19 AC21:AH21 AC23:AH23 AC25:AH25">
    <cfRule type="cellIs" dxfId="47" priority="50" stopIfTrue="1" operator="greaterThan">
      <formula>0</formula>
    </cfRule>
  </conditionalFormatting>
  <conditionalFormatting sqref="AC3:AH25">
    <cfRule type="cellIs" dxfId="46" priority="48" stopIfTrue="1" operator="equal">
      <formula>"PO"</formula>
    </cfRule>
    <cfRule type="cellIs" dxfId="45" priority="49" stopIfTrue="1" operator="equal">
      <formula>"ip"</formula>
    </cfRule>
  </conditionalFormatting>
  <conditionalFormatting sqref="AI3 AI5 AI7 AI9 AI11 AI13 AI15 AI17 AI19 AI21 AI23 AI25">
    <cfRule type="cellIs" dxfId="44" priority="46" stopIfTrue="1" operator="greaterThan">
      <formula>0</formula>
    </cfRule>
  </conditionalFormatting>
  <conditionalFormatting sqref="AI3:AI25">
    <cfRule type="cellIs" dxfId="43" priority="44" stopIfTrue="1" operator="equal">
      <formula>"PO"</formula>
    </cfRule>
    <cfRule type="cellIs" dxfId="42" priority="45" stopIfTrue="1" operator="equal">
      <formula>"ip"</formula>
    </cfRule>
  </conditionalFormatting>
  <conditionalFormatting sqref="AN8:AO14 AN3:AO5">
    <cfRule type="cellIs" dxfId="41" priority="39" stopIfTrue="1" operator="equal">
      <formula>"X"</formula>
    </cfRule>
  </conditionalFormatting>
  <conditionalFormatting sqref="AN8:AO14 AN3:AO5">
    <cfRule type="cellIs" dxfId="40" priority="42" stopIfTrue="1" operator="greaterThan">
      <formula>0</formula>
    </cfRule>
  </conditionalFormatting>
  <conditionalFormatting sqref="AN8:AO14 AN3:AO5">
    <cfRule type="cellIs" dxfId="39" priority="40" stopIfTrue="1" operator="equal">
      <formula>"PO"</formula>
    </cfRule>
    <cfRule type="cellIs" dxfId="38" priority="41" stopIfTrue="1" operator="equal">
      <formula>"ip"</formula>
    </cfRule>
  </conditionalFormatting>
  <conditionalFormatting sqref="AN6:AO7">
    <cfRule type="cellIs" dxfId="37" priority="35" stopIfTrue="1" operator="equal">
      <formula>"X"</formula>
    </cfRule>
  </conditionalFormatting>
  <conditionalFormatting sqref="AN6:AO7">
    <cfRule type="cellIs" dxfId="36" priority="38" stopIfTrue="1" operator="greaterThan">
      <formula>0</formula>
    </cfRule>
  </conditionalFormatting>
  <conditionalFormatting sqref="AN6:AO7">
    <cfRule type="cellIs" dxfId="35" priority="36" stopIfTrue="1" operator="equal">
      <formula>"PO"</formula>
    </cfRule>
    <cfRule type="cellIs" dxfId="34" priority="37" stopIfTrue="1" operator="equal">
      <formula>"ip"</formula>
    </cfRule>
  </conditionalFormatting>
  <conditionalFormatting sqref="AE30">
    <cfRule type="cellIs" dxfId="33" priority="33" stopIfTrue="1" operator="equal">
      <formula>0</formula>
    </cfRule>
  </conditionalFormatting>
  <conditionalFormatting sqref="AE30">
    <cfRule type="cellIs" dxfId="32" priority="34" stopIfTrue="1" operator="greaterThan">
      <formula>0</formula>
    </cfRule>
  </conditionalFormatting>
  <conditionalFormatting sqref="AX3:AY14">
    <cfRule type="cellIs" dxfId="31" priority="29" stopIfTrue="1" operator="equal">
      <formula>"X"</formula>
    </cfRule>
  </conditionalFormatting>
  <conditionalFormatting sqref="AX3:AY14">
    <cfRule type="cellIs" dxfId="30" priority="32" stopIfTrue="1" operator="greaterThan">
      <formula>0</formula>
    </cfRule>
  </conditionalFormatting>
  <conditionalFormatting sqref="AX3:AY14">
    <cfRule type="cellIs" dxfId="29" priority="30" stopIfTrue="1" operator="equal">
      <formula>"PO"</formula>
    </cfRule>
    <cfRule type="cellIs" dxfId="28" priority="31" stopIfTrue="1" operator="equal">
      <formula>"ip"</formula>
    </cfRule>
  </conditionalFormatting>
  <conditionalFormatting sqref="AO30">
    <cfRule type="cellIs" dxfId="27" priority="27" stopIfTrue="1" operator="equal">
      <formula>0</formula>
    </cfRule>
  </conditionalFormatting>
  <conditionalFormatting sqref="AO30">
    <cfRule type="cellIs" dxfId="26" priority="28" stopIfTrue="1" operator="greaterThan">
      <formula>0</formula>
    </cfRule>
  </conditionalFormatting>
  <conditionalFormatting sqref="F30">
    <cfRule type="cellIs" dxfId="25" priority="26" stopIfTrue="1" operator="greaterThan">
      <formula>0</formula>
    </cfRule>
  </conditionalFormatting>
  <conditionalFormatting sqref="F30">
    <cfRule type="cellIs" dxfId="24" priority="25" stopIfTrue="1" operator="equal">
      <formula>0</formula>
    </cfRule>
  </conditionalFormatting>
  <conditionalFormatting sqref="AT17:AU25">
    <cfRule type="cellIs" dxfId="23" priority="20" stopIfTrue="1" operator="greaterThan">
      <formula>0</formula>
    </cfRule>
  </conditionalFormatting>
  <conditionalFormatting sqref="BD3:BE14">
    <cfRule type="cellIs" dxfId="22" priority="21" stopIfTrue="1" operator="equal">
      <formula>"X"</formula>
    </cfRule>
  </conditionalFormatting>
  <conditionalFormatting sqref="BD3:BE14">
    <cfRule type="cellIs" dxfId="21" priority="24" stopIfTrue="1" operator="greaterThan">
      <formula>0</formula>
    </cfRule>
  </conditionalFormatting>
  <conditionalFormatting sqref="BD3:BE14">
    <cfRule type="cellIs" dxfId="20" priority="22" stopIfTrue="1" operator="equal">
      <formula>"PO"</formula>
    </cfRule>
    <cfRule type="cellIs" dxfId="19" priority="23" stopIfTrue="1" operator="equal">
      <formula>"ip"</formula>
    </cfRule>
  </conditionalFormatting>
  <conditionalFormatting sqref="AT17:AU25">
    <cfRule type="cellIs" dxfId="18" priority="17" stopIfTrue="1" operator="equal">
      <formula>"X"</formula>
    </cfRule>
  </conditionalFormatting>
  <conditionalFormatting sqref="AT17:AU25">
    <cfRule type="cellIs" dxfId="17" priority="18" stopIfTrue="1" operator="equal">
      <formula>"PO"</formula>
    </cfRule>
    <cfRule type="cellIs" dxfId="16" priority="19" stopIfTrue="1" operator="equal">
      <formula>"ip"</formula>
    </cfRule>
  </conditionalFormatting>
  <conditionalFormatting sqref="BD17:BE23 BD25:BE25">
    <cfRule type="cellIs" dxfId="15" priority="13" stopIfTrue="1" operator="equal">
      <formula>"X"</formula>
    </cfRule>
  </conditionalFormatting>
  <conditionalFormatting sqref="BD17:BE23 BD25:BE25">
    <cfRule type="cellIs" dxfId="14" priority="16" stopIfTrue="1" operator="greaterThan">
      <formula>0</formula>
    </cfRule>
  </conditionalFormatting>
  <conditionalFormatting sqref="BD17:BE23 BD25:BE25">
    <cfRule type="cellIs" dxfId="13" priority="14" stopIfTrue="1" operator="equal">
      <formula>"PO"</formula>
    </cfRule>
    <cfRule type="cellIs" dxfId="12" priority="15" stopIfTrue="1" operator="equal">
      <formula>"ip"</formula>
    </cfRule>
  </conditionalFormatting>
  <conditionalFormatting sqref="AT30">
    <cfRule type="cellIs" dxfId="11" priority="12" stopIfTrue="1" operator="greaterThan">
      <formula>0</formula>
    </cfRule>
  </conditionalFormatting>
  <conditionalFormatting sqref="AT30">
    <cfRule type="cellIs" dxfId="10" priority="11" stopIfTrue="1" operator="equal">
      <formula>0</formula>
    </cfRule>
  </conditionalFormatting>
  <conditionalFormatting sqref="AV30">
    <cfRule type="cellIs" dxfId="9" priority="9" stopIfTrue="1" operator="equal">
      <formula>0</formula>
    </cfRule>
  </conditionalFormatting>
  <conditionalFormatting sqref="AV30">
    <cfRule type="cellIs" dxfId="8" priority="10" stopIfTrue="1" operator="greaterThan">
      <formula>0</formula>
    </cfRule>
  </conditionalFormatting>
  <conditionalFormatting sqref="BB30">
    <cfRule type="cellIs" dxfId="7" priority="8" stopIfTrue="1" operator="greaterThan">
      <formula>0</formula>
    </cfRule>
  </conditionalFormatting>
  <conditionalFormatting sqref="BB30">
    <cfRule type="cellIs" dxfId="6" priority="7" stopIfTrue="1" operator="equal">
      <formula>0</formula>
    </cfRule>
  </conditionalFormatting>
  <conditionalFormatting sqref="BE30">
    <cfRule type="cellIs" dxfId="5" priority="6" stopIfTrue="1" operator="greaterThan">
      <formula>0</formula>
    </cfRule>
  </conditionalFormatting>
  <conditionalFormatting sqref="BE30">
    <cfRule type="cellIs" dxfId="4" priority="5" stopIfTrue="1" operator="equal">
      <formula>0</formula>
    </cfRule>
  </conditionalFormatting>
  <conditionalFormatting sqref="BD24:BE24">
    <cfRule type="cellIs" dxfId="3" priority="1" stopIfTrue="1" operator="equal">
      <formula>"X"</formula>
    </cfRule>
  </conditionalFormatting>
  <conditionalFormatting sqref="BD24:BE24">
    <cfRule type="cellIs" dxfId="2" priority="4" stopIfTrue="1" operator="greaterThan">
      <formula>0</formula>
    </cfRule>
  </conditionalFormatting>
  <conditionalFormatting sqref="BD24:BE24">
    <cfRule type="cellIs" dxfId="1" priority="2" stopIfTrue="1" operator="equal">
      <formula>"PO"</formula>
    </cfRule>
    <cfRule type="cellIs" dxfId="0" priority="3" stopIfTrue="1" operator="equal">
      <formula>"ip"</formula>
    </cfRule>
  </conditionalFormatting>
  <pageMargins left="0.7" right="0.7" top="0.75" bottom="0.75" header="0.3" footer="0.3"/>
  <pageSetup orientation="portrait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6" name="Button 1">
              <controlPr defaultSize="0" print="0" autoFill="0" autoPict="0" macro="[0]!clearShift">
                <anchor moveWithCells="1" sizeWithCells="1">
                  <from>
                    <xdr:col>8</xdr:col>
                    <xdr:colOff>533400</xdr:colOff>
                    <xdr:row>37</xdr:row>
                    <xdr:rowOff>381000</xdr:rowOff>
                  </from>
                  <to>
                    <xdr:col>14</xdr:col>
                    <xdr:colOff>533400</xdr:colOff>
                    <xdr:row>39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7" name="Button 2">
              <controlPr defaultSize="0" print="0" autoFill="0" autoPict="0" macro="[0]!ClearFlags">
                <anchor moveWithCells="1" sizeWithCells="1">
                  <from>
                    <xdr:col>8</xdr:col>
                    <xdr:colOff>552450</xdr:colOff>
                    <xdr:row>36</xdr:row>
                    <xdr:rowOff>0</xdr:rowOff>
                  </from>
                  <to>
                    <xdr:col>12</xdr:col>
                    <xdr:colOff>552450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8" name="Button 3">
              <controlPr defaultSize="0" print="0" autoFill="0" autoPict="0" macro="[0]!setPrevFirst">
                <anchor moveWithCells="1" siz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9" name="Button 4">
              <controlPr defaultSize="0" print="0" autoFill="0" autoPict="0" macro="[0]!setPrevSecond">
                <anchor moveWithCells="1" siz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10" name="Button 5">
              <controlPr defaultSize="0" print="0" autoFill="0" autoPict="0" macro="[0]!setPrevThird">
                <anchor moveWithCells="1" siz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1st Shift</vt:lpstr>
      <vt:lpstr>2nd Shift</vt:lpstr>
      <vt:lpstr>3rd Shift</vt:lpstr>
      <vt:lpstr>LAST DAY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Lowery</dc:creator>
  <cp:lastModifiedBy>Brandon Lowery</cp:lastModifiedBy>
  <cp:lastPrinted>2019-07-23T21:11:51Z</cp:lastPrinted>
  <dcterms:created xsi:type="dcterms:W3CDTF">2019-04-13T02:12:59Z</dcterms:created>
  <dcterms:modified xsi:type="dcterms:W3CDTF">2022-02-09T05:07:37Z</dcterms:modified>
  <cp:version>2.0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1997107159</vt:i4>
  </property>
  <property fmtid="{D5CDD505-2E9C-101B-9397-08002B2CF9AE}" pid="3" name="_NewReviewCycle">
    <vt:lpwstr/>
  </property>
  <property fmtid="{D5CDD505-2E9C-101B-9397-08002B2CF9AE}" pid="4" name="_EmailSubject">
    <vt:lpwstr>flags</vt:lpwstr>
  </property>
  <property fmtid="{D5CDD505-2E9C-101B-9397-08002B2CF9AE}" pid="5" name="_AuthorEmail">
    <vt:lpwstr>Brandon.Lowery@nissan-usa.com</vt:lpwstr>
  </property>
  <property fmtid="{D5CDD505-2E9C-101B-9397-08002B2CF9AE}" pid="6" name="_AuthorEmailDisplayName">
    <vt:lpwstr>Lowery, Brandon (EXTERNAL)</vt:lpwstr>
  </property>
  <property fmtid="{D5CDD505-2E9C-101B-9397-08002B2CF9AE}" pid="7" name="_ReviewingToolsShownOnce">
    <vt:lpwstr/>
  </property>
</Properties>
</file>